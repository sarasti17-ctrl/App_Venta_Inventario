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cripts py\Utilerias\+Utilerias\App_Venta_Inventario\data\"/>
    </mc:Choice>
  </mc:AlternateContent>
  <xr:revisionPtr revIDLastSave="0" documentId="8_{1751B2A2-9727-4625-B9B4-53372BE8E792}" xr6:coauthVersionLast="47" xr6:coauthVersionMax="47" xr10:uidLastSave="{00000000-0000-0000-0000-000000000000}"/>
  <bookViews>
    <workbookView xWindow="28680" yWindow="-225" windowWidth="29040" windowHeight="15840" xr2:uid="{20670FFC-0259-4FAC-B408-E70D4E4026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2" i="1"/>
  <c r="H168" i="1" l="1"/>
  <c r="H166" i="1"/>
  <c r="H169" i="1" s="1"/>
  <c r="H164" i="1"/>
</calcChain>
</file>

<file path=xl/sharedStrings.xml><?xml version="1.0" encoding="utf-8"?>
<sst xmlns="http://schemas.openxmlformats.org/spreadsheetml/2006/main" count="423" uniqueCount="79">
  <si>
    <t xml:space="preserve">MATERIAL </t>
  </si>
  <si>
    <t>MARCA</t>
  </si>
  <si>
    <t>CODIGO</t>
  </si>
  <si>
    <t>MEDIDA</t>
  </si>
  <si>
    <t>COLOR</t>
  </si>
  <si>
    <t>CANTIDAD</t>
  </si>
  <si>
    <t xml:space="preserve">Costo </t>
  </si>
  <si>
    <t xml:space="preserve"> Importe </t>
  </si>
  <si>
    <t>AGUJETA ALG</t>
  </si>
  <si>
    <t>SUPERGA</t>
  </si>
  <si>
    <t>AMARILLO</t>
  </si>
  <si>
    <t>AZURE LT</t>
  </si>
  <si>
    <t>BEIGE ALMOND</t>
  </si>
  <si>
    <t>BLANCA</t>
  </si>
  <si>
    <t>GREY COLOMBA</t>
  </si>
  <si>
    <t>GREY SAG</t>
  </si>
  <si>
    <t>GREY SILVER</t>
  </si>
  <si>
    <t>GRIS</t>
  </si>
  <si>
    <t>LT GREY</t>
  </si>
  <si>
    <t>NAVY</t>
  </si>
  <si>
    <t>NEGRA</t>
  </si>
  <si>
    <t>PINK SKIN</t>
  </si>
  <si>
    <t>ROJA</t>
  </si>
  <si>
    <t>ROSA</t>
  </si>
  <si>
    <t>VERDE JADE</t>
  </si>
  <si>
    <t>WHITE AVORIO</t>
  </si>
  <si>
    <t>AGUJETA AME F3</t>
  </si>
  <si>
    <t>DC</t>
  </si>
  <si>
    <t>18127  GRIS PEWTER</t>
  </si>
  <si>
    <t>AZUL VIEJO</t>
  </si>
  <si>
    <t>BEIGE</t>
  </si>
  <si>
    <t xml:space="preserve">BLUE LIGHT MENTA </t>
  </si>
  <si>
    <t>BLUE MIRAGE</t>
  </si>
  <si>
    <t>CEREZA</t>
  </si>
  <si>
    <t>CEREZA 424 CHILLI PEPPER</t>
  </si>
  <si>
    <t>CORAL FOSFORESENTE</t>
  </si>
  <si>
    <t>CREMA</t>
  </si>
  <si>
    <t>GRIS NIMBO</t>
  </si>
  <si>
    <t xml:space="preserve">GRIS NIMBO </t>
  </si>
  <si>
    <t>GRIS OXFORD</t>
  </si>
  <si>
    <t>GRIS PEWTEE</t>
  </si>
  <si>
    <t>JADE MOONLIGTH</t>
  </si>
  <si>
    <t>KAKI</t>
  </si>
  <si>
    <t>KAKI1071 (INCENSE)</t>
  </si>
  <si>
    <t>MALVA OCASO</t>
  </si>
  <si>
    <t>MARINO (AZMN04) BLACK IRIS</t>
  </si>
  <si>
    <t>MOTHER OF PEARL</t>
  </si>
  <si>
    <t xml:space="preserve">NEGRA </t>
  </si>
  <si>
    <t>OSTION</t>
  </si>
  <si>
    <t>PLANA (17-1505 TPG) QUAIL</t>
  </si>
  <si>
    <t>PLANA PASTEL LILAC(14-3812 TPG)</t>
  </si>
  <si>
    <t>PLANA QUAIL (MALVAOCASO1911)</t>
  </si>
  <si>
    <t>POROTEL LILAC</t>
  </si>
  <si>
    <t>ROSA CARMINO</t>
  </si>
  <si>
    <t>ROSA CREPE</t>
  </si>
  <si>
    <t>ROSA CREPE18144 CORAL ALMOND</t>
  </si>
  <si>
    <t>ROSA VIEJO2028 OLD DC ROSE</t>
  </si>
  <si>
    <t>ROSA VIEJO2028 OLD ROSE</t>
  </si>
  <si>
    <t>SUDAN BROWN</t>
  </si>
  <si>
    <t xml:space="preserve">VERDE PISTACHE </t>
  </si>
  <si>
    <t>AGUJETA AMERICANA</t>
  </si>
  <si>
    <t>AZUL MARINO</t>
  </si>
  <si>
    <t>AZUL REY</t>
  </si>
  <si>
    <t>COCOA</t>
  </si>
  <si>
    <t>GRATA</t>
  </si>
  <si>
    <t>NEGRA TAIWAN</t>
  </si>
  <si>
    <t>ROSA RS 1368</t>
  </si>
  <si>
    <t>VERDE OLIVO</t>
  </si>
  <si>
    <t>VINO</t>
  </si>
  <si>
    <t>VINTAGE/ORANGE</t>
  </si>
  <si>
    <t>AGUJETA DEPORTIVA</t>
  </si>
  <si>
    <t>AGUJETA DEPORTIVa</t>
  </si>
  <si>
    <t>ROSA SALMON</t>
  </si>
  <si>
    <t>AGUJETA LACOSTE</t>
  </si>
  <si>
    <t>LACOSTE</t>
  </si>
  <si>
    <t xml:space="preserve">AGUJETA LACOSTE </t>
  </si>
  <si>
    <t xml:space="preserve">LACOSTE </t>
  </si>
  <si>
    <t>AGUJETA PLANA</t>
  </si>
  <si>
    <t>VANS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</si>
</sst>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4" fontId="0" fillId="0" borderId="0" xfId="0" applyNumberFormat="1"/>
    <xf numFmtId="44" fontId="2" fillId="0" borderId="0" xfId="2" applyFont="1" applyFill="1" applyAlignment="1">
      <alignment horizontal="center" vertical="center" wrapText="1"/>
    </xf>
    <xf numFmtId="44" fontId="0" fillId="0" borderId="0" xfId="2" applyFont="1"/>
  </cellXfs>
  <cellStyles count="3">
    <cellStyle name="Moneda" xfId="1" builtinId="4"/>
    <cellStyle name="Moneda 2" xfId="2" xr:uid="{F9E5BC82-BF78-4813-A35D-6FF9EFD27F52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37A0B-B3FC-440D-BB57-EC355F385F8B}" name="Tabla10" displayName="Tabla10" ref="A1:H164" totalsRowCount="1" headerRowDxfId="16">
  <autoFilter ref="A1:H163" xr:uid="{BB437A0B-B3FC-440D-BB57-EC355F385F8B}"/>
  <tableColumns count="8">
    <tableColumn id="1" xr3:uid="{AB93BCDE-52EE-491E-85B5-A4382FA38DB1}" name="MATERIAL " dataDxfId="15" totalsRowDxfId="7"/>
    <tableColumn id="2" xr3:uid="{B782D571-7474-4867-8B5C-C31231740D4F}" name="MARCA" dataDxfId="14" totalsRowDxfId="6"/>
    <tableColumn id="3" xr3:uid="{925F8A82-C2CB-4492-AAA7-2B025593B259}" name="CODIGO" dataDxfId="13" totalsRowDxfId="5"/>
    <tableColumn id="4" xr3:uid="{A483D9E2-AB39-425E-BDF6-BD9065650B76}" name="MEDIDA" dataDxfId="12" totalsRowDxfId="4"/>
    <tableColumn id="5" xr3:uid="{0CC8B124-3EC8-42B0-9B74-D5A4B3046562}" name="COLOR" dataDxfId="11" totalsRowDxfId="3"/>
    <tableColumn id="8" xr3:uid="{1B4431DF-58BD-44A2-9528-9F8F9FC6F165}" name="CANTIDAD" dataDxfId="10" totalsRowDxfId="2"/>
    <tableColumn id="9" xr3:uid="{99A85349-6389-4926-9D83-A802BE06C211}" name="Costo " dataDxfId="9" totalsRowDxfId="1"/>
    <tableColumn id="10" xr3:uid="{E22F7CC1-B56C-46A7-B1F1-FB007567484B}" name=" Importe " totalsRowFunction="sum" dataDxfId="8" totalsRowDxfId="0">
      <calculatedColumnFormula>Tabla10[[#This Row],[CANTIDAD]]*Tabla10[[#This Row],[Costo 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0202-EDD9-49E6-9FFD-628314B6FAAF}">
  <dimension ref="A1:H169"/>
  <sheetViews>
    <sheetView tabSelected="1" workbookViewId="0">
      <selection activeCell="A2" sqref="A2"/>
    </sheetView>
  </sheetViews>
  <sheetFormatPr baseColWidth="10" defaultRowHeight="15" x14ac:dyDescent="0.25"/>
  <cols>
    <col min="1" max="1" width="20.28515625" bestFit="1" customWidth="1"/>
    <col min="2" max="2" width="12.28515625" bestFit="1" customWidth="1"/>
    <col min="3" max="4" width="12.85546875" bestFit="1" customWidth="1"/>
    <col min="5" max="5" width="32" bestFit="1" customWidth="1"/>
    <col min="6" max="6" width="14.85546875" customWidth="1"/>
    <col min="8" max="8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>
        <v>6162</v>
      </c>
      <c r="D2" s="3">
        <v>95</v>
      </c>
      <c r="E2" s="3" t="s">
        <v>10</v>
      </c>
      <c r="F2" s="3">
        <v>91</v>
      </c>
      <c r="G2" s="3">
        <v>2.62</v>
      </c>
      <c r="H2" s="4">
        <f>Tabla10[[#This Row],[CANTIDAD]]*Tabla10[[#This Row],[Costo ]]</f>
        <v>238.42000000000002</v>
      </c>
    </row>
    <row r="3" spans="1:8" x14ac:dyDescent="0.25">
      <c r="A3" s="3" t="s">
        <v>8</v>
      </c>
      <c r="B3" s="3" t="s">
        <v>9</v>
      </c>
      <c r="C3" s="3">
        <v>6154</v>
      </c>
      <c r="D3" s="3">
        <v>105</v>
      </c>
      <c r="E3" s="3" t="s">
        <v>10</v>
      </c>
      <c r="F3" s="3">
        <v>44</v>
      </c>
      <c r="G3" s="3">
        <v>2.62</v>
      </c>
      <c r="H3" s="4">
        <f>Tabla10[[#This Row],[CANTIDAD]]*Tabla10[[#This Row],[Costo ]]</f>
        <v>115.28</v>
      </c>
    </row>
    <row r="4" spans="1:8" x14ac:dyDescent="0.25">
      <c r="A4" s="3" t="s">
        <v>8</v>
      </c>
      <c r="B4" s="3" t="s">
        <v>9</v>
      </c>
      <c r="C4" s="3">
        <v>6171</v>
      </c>
      <c r="D4" s="3">
        <v>95</v>
      </c>
      <c r="E4" s="3" t="s">
        <v>11</v>
      </c>
      <c r="F4" s="5">
        <v>2090</v>
      </c>
      <c r="G4" s="3">
        <v>1.98</v>
      </c>
      <c r="H4" s="4">
        <f>Tabla10[[#This Row],[CANTIDAD]]*Tabla10[[#This Row],[Costo ]]</f>
        <v>4138.2</v>
      </c>
    </row>
    <row r="5" spans="1:8" x14ac:dyDescent="0.25">
      <c r="A5" s="3" t="s">
        <v>8</v>
      </c>
      <c r="B5" s="3" t="s">
        <v>9</v>
      </c>
      <c r="C5" s="3">
        <v>6175</v>
      </c>
      <c r="D5" s="3">
        <v>105</v>
      </c>
      <c r="E5" s="3" t="s">
        <v>11</v>
      </c>
      <c r="F5" s="5">
        <v>2090</v>
      </c>
      <c r="G5" s="3">
        <v>1.98</v>
      </c>
      <c r="H5" s="4">
        <f>Tabla10[[#This Row],[CANTIDAD]]*Tabla10[[#This Row],[Costo ]]</f>
        <v>4138.2</v>
      </c>
    </row>
    <row r="6" spans="1:8" x14ac:dyDescent="0.25">
      <c r="A6" s="3" t="s">
        <v>8</v>
      </c>
      <c r="B6" s="3" t="s">
        <v>9</v>
      </c>
      <c r="C6" s="3">
        <v>6180</v>
      </c>
      <c r="D6" s="3">
        <v>95</v>
      </c>
      <c r="E6" s="3" t="s">
        <v>12</v>
      </c>
      <c r="F6" s="3">
        <v>188</v>
      </c>
      <c r="G6" s="3">
        <v>1.98</v>
      </c>
      <c r="H6" s="4">
        <f>Tabla10[[#This Row],[CANTIDAD]]*Tabla10[[#This Row],[Costo ]]</f>
        <v>372.24</v>
      </c>
    </row>
    <row r="7" spans="1:8" x14ac:dyDescent="0.25">
      <c r="A7" s="3" t="s">
        <v>8</v>
      </c>
      <c r="B7" s="3" t="s">
        <v>9</v>
      </c>
      <c r="C7" s="3">
        <v>6185</v>
      </c>
      <c r="D7" s="3">
        <v>105</v>
      </c>
      <c r="E7" s="3" t="s">
        <v>12</v>
      </c>
      <c r="F7" s="3">
        <v>42</v>
      </c>
      <c r="G7" s="3">
        <v>1.98</v>
      </c>
      <c r="H7" s="4">
        <f>Tabla10[[#This Row],[CANTIDAD]]*Tabla10[[#This Row],[Costo ]]</f>
        <v>83.16</v>
      </c>
    </row>
    <row r="8" spans="1:8" x14ac:dyDescent="0.25">
      <c r="A8" s="3" t="s">
        <v>8</v>
      </c>
      <c r="B8" s="3" t="s">
        <v>9</v>
      </c>
      <c r="C8" s="3">
        <v>6052</v>
      </c>
      <c r="D8" s="3">
        <v>95</v>
      </c>
      <c r="E8" s="3" t="s">
        <v>13</v>
      </c>
      <c r="F8" s="5">
        <v>3250</v>
      </c>
      <c r="G8" s="3">
        <v>2.62</v>
      </c>
      <c r="H8" s="4">
        <f>Tabla10[[#This Row],[CANTIDAD]]*Tabla10[[#This Row],[Costo ]]</f>
        <v>8515</v>
      </c>
    </row>
    <row r="9" spans="1:8" x14ac:dyDescent="0.25">
      <c r="A9" s="3" t="s">
        <v>8</v>
      </c>
      <c r="B9" s="3" t="s">
        <v>9</v>
      </c>
      <c r="C9" s="3">
        <v>6150</v>
      </c>
      <c r="D9" s="3">
        <v>105</v>
      </c>
      <c r="E9" s="3" t="s">
        <v>13</v>
      </c>
      <c r="F9" s="5">
        <v>6900</v>
      </c>
      <c r="G9" s="3">
        <v>2.62</v>
      </c>
      <c r="H9" s="4">
        <f>Tabla10[[#This Row],[CANTIDAD]]*Tabla10[[#This Row],[Costo ]]</f>
        <v>18078</v>
      </c>
    </row>
    <row r="10" spans="1:8" x14ac:dyDescent="0.25">
      <c r="A10" s="3" t="s">
        <v>8</v>
      </c>
      <c r="B10" s="3" t="s">
        <v>9</v>
      </c>
      <c r="C10" s="3">
        <v>6181</v>
      </c>
      <c r="D10" s="3">
        <v>95</v>
      </c>
      <c r="E10" s="3" t="s">
        <v>14</v>
      </c>
      <c r="F10" s="3">
        <v>114</v>
      </c>
      <c r="G10" s="3">
        <v>1.98</v>
      </c>
      <c r="H10" s="4">
        <f>Tabla10[[#This Row],[CANTIDAD]]*Tabla10[[#This Row],[Costo ]]</f>
        <v>225.72</v>
      </c>
    </row>
    <row r="11" spans="1:8" x14ac:dyDescent="0.25">
      <c r="A11" s="3" t="s">
        <v>8</v>
      </c>
      <c r="B11" s="3" t="s">
        <v>9</v>
      </c>
      <c r="C11" s="3">
        <v>6184</v>
      </c>
      <c r="D11" s="3">
        <v>105</v>
      </c>
      <c r="E11" s="3" t="s">
        <v>14</v>
      </c>
      <c r="F11" s="3">
        <v>0</v>
      </c>
      <c r="G11" s="3">
        <v>1.98</v>
      </c>
      <c r="H11" s="4">
        <f>Tabla10[[#This Row],[CANTIDAD]]*Tabla10[[#This Row],[Costo ]]</f>
        <v>0</v>
      </c>
    </row>
    <row r="12" spans="1:8" x14ac:dyDescent="0.25">
      <c r="A12" s="3" t="s">
        <v>8</v>
      </c>
      <c r="B12" s="3" t="s">
        <v>9</v>
      </c>
      <c r="C12" s="3">
        <v>6159</v>
      </c>
      <c r="D12" s="3">
        <v>95</v>
      </c>
      <c r="E12" s="3" t="s">
        <v>15</v>
      </c>
      <c r="F12" s="3">
        <v>438</v>
      </c>
      <c r="G12" s="3">
        <v>2.62</v>
      </c>
      <c r="H12" s="4">
        <f>Tabla10[[#This Row],[CANTIDAD]]*Tabla10[[#This Row],[Costo ]]</f>
        <v>1147.56</v>
      </c>
    </row>
    <row r="13" spans="1:8" x14ac:dyDescent="0.25">
      <c r="A13" s="3" t="s">
        <v>8</v>
      </c>
      <c r="B13" s="3" t="s">
        <v>9</v>
      </c>
      <c r="C13" s="3">
        <v>6683</v>
      </c>
      <c r="D13" s="3">
        <v>105</v>
      </c>
      <c r="E13" s="3" t="s">
        <v>15</v>
      </c>
      <c r="F13" s="5">
        <v>1560</v>
      </c>
      <c r="G13" s="3">
        <v>2.62</v>
      </c>
      <c r="H13" s="4">
        <f>Tabla10[[#This Row],[CANTIDAD]]*Tabla10[[#This Row],[Costo ]]</f>
        <v>4087.2000000000003</v>
      </c>
    </row>
    <row r="14" spans="1:8" x14ac:dyDescent="0.25">
      <c r="A14" s="3" t="s">
        <v>8</v>
      </c>
      <c r="B14" s="3" t="s">
        <v>9</v>
      </c>
      <c r="C14" s="3">
        <v>3232</v>
      </c>
      <c r="D14" s="3">
        <v>95</v>
      </c>
      <c r="E14" s="3" t="s">
        <v>16</v>
      </c>
      <c r="F14" s="3">
        <v>74</v>
      </c>
      <c r="G14" s="3">
        <v>2.62</v>
      </c>
      <c r="H14" s="4">
        <f>Tabla10[[#This Row],[CANTIDAD]]*Tabla10[[#This Row],[Costo ]]</f>
        <v>193.88</v>
      </c>
    </row>
    <row r="15" spans="1:8" x14ac:dyDescent="0.25">
      <c r="A15" s="3" t="s">
        <v>8</v>
      </c>
      <c r="B15" s="3" t="s">
        <v>9</v>
      </c>
      <c r="C15" s="3">
        <v>6690</v>
      </c>
      <c r="D15" s="3">
        <v>105</v>
      </c>
      <c r="E15" s="3" t="s">
        <v>16</v>
      </c>
      <c r="F15" s="3">
        <v>51</v>
      </c>
      <c r="G15" s="3">
        <v>2.62</v>
      </c>
      <c r="H15" s="4">
        <f>Tabla10[[#This Row],[CANTIDAD]]*Tabla10[[#This Row],[Costo ]]</f>
        <v>133.62</v>
      </c>
    </row>
    <row r="16" spans="1:8" x14ac:dyDescent="0.25">
      <c r="A16" s="3" t="s">
        <v>8</v>
      </c>
      <c r="B16" s="3" t="s">
        <v>9</v>
      </c>
      <c r="C16" s="3"/>
      <c r="D16" s="3">
        <v>95</v>
      </c>
      <c r="E16" s="3" t="s">
        <v>17</v>
      </c>
      <c r="F16" s="3">
        <v>50</v>
      </c>
      <c r="G16" s="3">
        <v>2.62</v>
      </c>
      <c r="H16" s="4">
        <f>Tabla10[[#This Row],[CANTIDAD]]*Tabla10[[#This Row],[Costo ]]</f>
        <v>131</v>
      </c>
    </row>
    <row r="17" spans="1:8" x14ac:dyDescent="0.25">
      <c r="A17" s="3" t="s">
        <v>8</v>
      </c>
      <c r="B17" s="3" t="s">
        <v>9</v>
      </c>
      <c r="C17" s="3"/>
      <c r="D17" s="3">
        <v>105</v>
      </c>
      <c r="E17" s="3" t="s">
        <v>17</v>
      </c>
      <c r="F17" s="3">
        <v>16</v>
      </c>
      <c r="G17" s="3">
        <v>2.62</v>
      </c>
      <c r="H17" s="4">
        <f>Tabla10[[#This Row],[CANTIDAD]]*Tabla10[[#This Row],[Costo ]]</f>
        <v>41.92</v>
      </c>
    </row>
    <row r="18" spans="1:8" x14ac:dyDescent="0.25">
      <c r="A18" s="3" t="s">
        <v>8</v>
      </c>
      <c r="B18" s="3" t="s">
        <v>9</v>
      </c>
      <c r="C18" s="3">
        <v>6173</v>
      </c>
      <c r="D18" s="3">
        <v>95</v>
      </c>
      <c r="E18" s="3" t="s">
        <v>18</v>
      </c>
      <c r="F18" s="5">
        <v>1500</v>
      </c>
      <c r="G18" s="3">
        <v>1.98</v>
      </c>
      <c r="H18" s="4">
        <f>Tabla10[[#This Row],[CANTIDAD]]*Tabla10[[#This Row],[Costo ]]</f>
        <v>2970</v>
      </c>
    </row>
    <row r="19" spans="1:8" x14ac:dyDescent="0.25">
      <c r="A19" s="3" t="s">
        <v>8</v>
      </c>
      <c r="B19" s="3" t="s">
        <v>9</v>
      </c>
      <c r="C19" s="3">
        <v>6177</v>
      </c>
      <c r="D19" s="3">
        <v>105</v>
      </c>
      <c r="E19" s="3" t="s">
        <v>18</v>
      </c>
      <c r="F19" s="5">
        <v>1496</v>
      </c>
      <c r="G19" s="3">
        <v>1.98</v>
      </c>
      <c r="H19" s="4">
        <f>Tabla10[[#This Row],[CANTIDAD]]*Tabla10[[#This Row],[Costo ]]</f>
        <v>2962.08</v>
      </c>
    </row>
    <row r="20" spans="1:8" x14ac:dyDescent="0.25">
      <c r="A20" s="3" t="s">
        <v>8</v>
      </c>
      <c r="B20" s="3" t="s">
        <v>9</v>
      </c>
      <c r="C20" s="3">
        <v>6092</v>
      </c>
      <c r="D20" s="3">
        <v>95</v>
      </c>
      <c r="E20" s="3" t="s">
        <v>19</v>
      </c>
      <c r="F20" s="3">
        <v>156</v>
      </c>
      <c r="G20" s="3">
        <v>2.62</v>
      </c>
      <c r="H20" s="4">
        <f>Tabla10[[#This Row],[CANTIDAD]]*Tabla10[[#This Row],[Costo ]]</f>
        <v>408.72</v>
      </c>
    </row>
    <row r="21" spans="1:8" x14ac:dyDescent="0.25">
      <c r="A21" s="3" t="s">
        <v>8</v>
      </c>
      <c r="B21" s="3" t="s">
        <v>9</v>
      </c>
      <c r="C21" s="3">
        <v>6682</v>
      </c>
      <c r="D21" s="3">
        <v>105</v>
      </c>
      <c r="E21" s="3" t="s">
        <v>19</v>
      </c>
      <c r="F21" s="3">
        <v>960</v>
      </c>
      <c r="G21" s="3">
        <v>2.62</v>
      </c>
      <c r="H21" s="4">
        <f>Tabla10[[#This Row],[CANTIDAD]]*Tabla10[[#This Row],[Costo ]]</f>
        <v>2515.2000000000003</v>
      </c>
    </row>
    <row r="22" spans="1:8" x14ac:dyDescent="0.25">
      <c r="A22" s="3" t="s">
        <v>8</v>
      </c>
      <c r="B22" s="3" t="s">
        <v>9</v>
      </c>
      <c r="C22" s="3">
        <v>6082</v>
      </c>
      <c r="D22" s="3">
        <v>95</v>
      </c>
      <c r="E22" s="3" t="s">
        <v>20</v>
      </c>
      <c r="F22" s="5">
        <v>1512</v>
      </c>
      <c r="G22" s="3">
        <v>2.62</v>
      </c>
      <c r="H22" s="4">
        <f>Tabla10[[#This Row],[CANTIDAD]]*Tabla10[[#This Row],[Costo ]]</f>
        <v>3961.44</v>
      </c>
    </row>
    <row r="23" spans="1:8" x14ac:dyDescent="0.25">
      <c r="A23" s="3" t="s">
        <v>8</v>
      </c>
      <c r="B23" s="3" t="s">
        <v>9</v>
      </c>
      <c r="C23" s="3">
        <v>6149</v>
      </c>
      <c r="D23" s="3">
        <v>105</v>
      </c>
      <c r="E23" s="3" t="s">
        <v>20</v>
      </c>
      <c r="F23" s="3">
        <v>726</v>
      </c>
      <c r="G23" s="3">
        <v>2.62</v>
      </c>
      <c r="H23" s="4">
        <f>Tabla10[[#This Row],[CANTIDAD]]*Tabla10[[#This Row],[Costo ]]</f>
        <v>1902.1200000000001</v>
      </c>
    </row>
    <row r="24" spans="1:8" x14ac:dyDescent="0.25">
      <c r="A24" s="3" t="s">
        <v>8</v>
      </c>
      <c r="B24" s="3" t="s">
        <v>9</v>
      </c>
      <c r="C24" s="3">
        <v>6172</v>
      </c>
      <c r="D24" s="3">
        <v>95</v>
      </c>
      <c r="E24" s="3" t="s">
        <v>21</v>
      </c>
      <c r="F24" s="3">
        <v>590</v>
      </c>
      <c r="G24" s="3">
        <v>1.98</v>
      </c>
      <c r="H24" s="4">
        <f>Tabla10[[#This Row],[CANTIDAD]]*Tabla10[[#This Row],[Costo ]]</f>
        <v>1168.2</v>
      </c>
    </row>
    <row r="25" spans="1:8" x14ac:dyDescent="0.25">
      <c r="A25" s="3" t="s">
        <v>8</v>
      </c>
      <c r="B25" s="3" t="s">
        <v>9</v>
      </c>
      <c r="C25" s="3">
        <v>6176</v>
      </c>
      <c r="D25" s="3">
        <v>105</v>
      </c>
      <c r="E25" s="3" t="s">
        <v>21</v>
      </c>
      <c r="F25" s="3">
        <v>590</v>
      </c>
      <c r="G25" s="3">
        <v>1.98</v>
      </c>
      <c r="H25" s="4">
        <f>Tabla10[[#This Row],[CANTIDAD]]*Tabla10[[#This Row],[Costo ]]</f>
        <v>1168.2</v>
      </c>
    </row>
    <row r="26" spans="1:8" x14ac:dyDescent="0.25">
      <c r="A26" s="3" t="s">
        <v>8</v>
      </c>
      <c r="B26" s="3" t="s">
        <v>9</v>
      </c>
      <c r="C26" s="3">
        <v>6160</v>
      </c>
      <c r="D26" s="3">
        <v>95</v>
      </c>
      <c r="E26" s="3" t="s">
        <v>22</v>
      </c>
      <c r="F26" s="3">
        <v>36</v>
      </c>
      <c r="G26" s="3">
        <v>2.62</v>
      </c>
      <c r="H26" s="4">
        <f>Tabla10[[#This Row],[CANTIDAD]]*Tabla10[[#This Row],[Costo ]]</f>
        <v>94.320000000000007</v>
      </c>
    </row>
    <row r="27" spans="1:8" x14ac:dyDescent="0.25">
      <c r="A27" s="3" t="s">
        <v>8</v>
      </c>
      <c r="B27" s="3" t="s">
        <v>9</v>
      </c>
      <c r="C27" s="3">
        <v>6698</v>
      </c>
      <c r="D27" s="3">
        <v>105</v>
      </c>
      <c r="E27" s="3" t="s">
        <v>22</v>
      </c>
      <c r="F27" s="3">
        <v>43</v>
      </c>
      <c r="G27" s="3">
        <v>2.62</v>
      </c>
      <c r="H27" s="4">
        <f>Tabla10[[#This Row],[CANTIDAD]]*Tabla10[[#This Row],[Costo ]]</f>
        <v>112.66000000000001</v>
      </c>
    </row>
    <row r="28" spans="1:8" x14ac:dyDescent="0.25">
      <c r="A28" s="3" t="s">
        <v>8</v>
      </c>
      <c r="B28" s="3" t="s">
        <v>9</v>
      </c>
      <c r="C28" s="3"/>
      <c r="D28" s="3">
        <v>95</v>
      </c>
      <c r="E28" s="3" t="s">
        <v>23</v>
      </c>
      <c r="F28" s="3">
        <v>25</v>
      </c>
      <c r="G28" s="3">
        <v>2.62</v>
      </c>
      <c r="H28" s="4">
        <f>Tabla10[[#This Row],[CANTIDAD]]*Tabla10[[#This Row],[Costo ]]</f>
        <v>65.5</v>
      </c>
    </row>
    <row r="29" spans="1:8" x14ac:dyDescent="0.25">
      <c r="A29" s="3" t="s">
        <v>8</v>
      </c>
      <c r="B29" s="3" t="s">
        <v>9</v>
      </c>
      <c r="C29" s="3"/>
      <c r="D29" s="3">
        <v>95</v>
      </c>
      <c r="E29" s="3" t="s">
        <v>24</v>
      </c>
      <c r="F29" s="3">
        <v>33</v>
      </c>
      <c r="G29" s="3">
        <v>2.62</v>
      </c>
      <c r="H29" s="4">
        <f>Tabla10[[#This Row],[CANTIDAD]]*Tabla10[[#This Row],[Costo ]]</f>
        <v>86.460000000000008</v>
      </c>
    </row>
    <row r="30" spans="1:8" x14ac:dyDescent="0.25">
      <c r="A30" s="3" t="s">
        <v>8</v>
      </c>
      <c r="B30" s="3" t="s">
        <v>9</v>
      </c>
      <c r="C30" s="3"/>
      <c r="D30" s="3">
        <v>105</v>
      </c>
      <c r="E30" s="3" t="s">
        <v>24</v>
      </c>
      <c r="F30" s="3">
        <v>56</v>
      </c>
      <c r="G30" s="3">
        <v>2.62</v>
      </c>
      <c r="H30" s="4">
        <f>Tabla10[[#This Row],[CANTIDAD]]*Tabla10[[#This Row],[Costo ]]</f>
        <v>146.72</v>
      </c>
    </row>
    <row r="31" spans="1:8" x14ac:dyDescent="0.25">
      <c r="A31" s="3" t="s">
        <v>8</v>
      </c>
      <c r="B31" s="3" t="s">
        <v>9</v>
      </c>
      <c r="C31" s="3">
        <v>6170</v>
      </c>
      <c r="D31" s="3">
        <v>95</v>
      </c>
      <c r="E31" s="3" t="s">
        <v>25</v>
      </c>
      <c r="F31" s="5">
        <v>1280</v>
      </c>
      <c r="G31" s="3">
        <v>1.98</v>
      </c>
      <c r="H31" s="4">
        <f>Tabla10[[#This Row],[CANTIDAD]]*Tabla10[[#This Row],[Costo ]]</f>
        <v>2534.4</v>
      </c>
    </row>
    <row r="32" spans="1:8" x14ac:dyDescent="0.25">
      <c r="A32" s="3" t="s">
        <v>8</v>
      </c>
      <c r="B32" s="3" t="s">
        <v>9</v>
      </c>
      <c r="C32" s="3">
        <v>6174</v>
      </c>
      <c r="D32" s="3">
        <v>105</v>
      </c>
      <c r="E32" s="3" t="s">
        <v>25</v>
      </c>
      <c r="F32" s="5">
        <v>1280</v>
      </c>
      <c r="G32" s="3">
        <v>1.98</v>
      </c>
      <c r="H32" s="4">
        <f>Tabla10[[#This Row],[CANTIDAD]]*Tabla10[[#This Row],[Costo ]]</f>
        <v>2534.4</v>
      </c>
    </row>
    <row r="33" spans="1:8" x14ac:dyDescent="0.25">
      <c r="A33" s="3" t="s">
        <v>26</v>
      </c>
      <c r="B33" s="3" t="s">
        <v>27</v>
      </c>
      <c r="C33" s="3">
        <v>6158</v>
      </c>
      <c r="D33" s="3">
        <v>90</v>
      </c>
      <c r="E33" s="3" t="s">
        <v>28</v>
      </c>
      <c r="F33" s="3">
        <v>246</v>
      </c>
      <c r="G33" s="3">
        <v>1.98</v>
      </c>
      <c r="H33" s="4">
        <f>Tabla10[[#This Row],[CANTIDAD]]*Tabla10[[#This Row],[Costo ]]</f>
        <v>487.08</v>
      </c>
    </row>
    <row r="34" spans="1:8" x14ac:dyDescent="0.25">
      <c r="A34" s="3" t="s">
        <v>26</v>
      </c>
      <c r="B34" s="3" t="s">
        <v>27</v>
      </c>
      <c r="C34" s="3"/>
      <c r="D34" s="3">
        <v>90</v>
      </c>
      <c r="E34" s="3" t="s">
        <v>29</v>
      </c>
      <c r="F34" s="3">
        <v>348</v>
      </c>
      <c r="G34" s="3">
        <v>1.98</v>
      </c>
      <c r="H34" s="4">
        <f>Tabla10[[#This Row],[CANTIDAD]]*Tabla10[[#This Row],[Costo ]]</f>
        <v>689.04</v>
      </c>
    </row>
    <row r="35" spans="1:8" x14ac:dyDescent="0.25">
      <c r="A35" s="3" t="s">
        <v>26</v>
      </c>
      <c r="B35" s="3" t="s">
        <v>27</v>
      </c>
      <c r="C35" s="3"/>
      <c r="D35" s="3">
        <v>90</v>
      </c>
      <c r="E35" s="3" t="s">
        <v>30</v>
      </c>
      <c r="F35" s="3">
        <v>550</v>
      </c>
      <c r="G35" s="3">
        <v>1.98</v>
      </c>
      <c r="H35" s="4">
        <f>Tabla10[[#This Row],[CANTIDAD]]*Tabla10[[#This Row],[Costo ]]</f>
        <v>1089</v>
      </c>
    </row>
    <row r="36" spans="1:8" x14ac:dyDescent="0.25">
      <c r="A36" s="3" t="s">
        <v>26</v>
      </c>
      <c r="B36" s="3" t="s">
        <v>27</v>
      </c>
      <c r="C36" s="3">
        <v>6074</v>
      </c>
      <c r="D36" s="3">
        <v>90</v>
      </c>
      <c r="E36" s="3" t="s">
        <v>13</v>
      </c>
      <c r="F36" s="3">
        <v>288</v>
      </c>
      <c r="G36" s="3">
        <v>1.98</v>
      </c>
      <c r="H36" s="4">
        <f>Tabla10[[#This Row],[CANTIDAD]]*Tabla10[[#This Row],[Costo ]]</f>
        <v>570.24</v>
      </c>
    </row>
    <row r="37" spans="1:8" x14ac:dyDescent="0.25">
      <c r="A37" s="3" t="s">
        <v>26</v>
      </c>
      <c r="B37" s="3" t="s">
        <v>27</v>
      </c>
      <c r="C37" s="3">
        <v>6120</v>
      </c>
      <c r="D37" s="3">
        <v>95</v>
      </c>
      <c r="E37" s="3" t="s">
        <v>13</v>
      </c>
      <c r="F37" s="3">
        <v>960</v>
      </c>
      <c r="G37" s="3">
        <v>1.98</v>
      </c>
      <c r="H37" s="4">
        <f>Tabla10[[#This Row],[CANTIDAD]]*Tabla10[[#This Row],[Costo ]]</f>
        <v>1900.8</v>
      </c>
    </row>
    <row r="38" spans="1:8" x14ac:dyDescent="0.25">
      <c r="A38" s="3" t="s">
        <v>26</v>
      </c>
      <c r="B38" s="3" t="s">
        <v>27</v>
      </c>
      <c r="C38" s="3">
        <v>6186</v>
      </c>
      <c r="D38" s="3">
        <v>120</v>
      </c>
      <c r="E38" s="3" t="s">
        <v>13</v>
      </c>
      <c r="F38" s="3">
        <v>792</v>
      </c>
      <c r="G38" s="3">
        <v>1.98</v>
      </c>
      <c r="H38" s="4">
        <f>Tabla10[[#This Row],[CANTIDAD]]*Tabla10[[#This Row],[Costo ]]</f>
        <v>1568.16</v>
      </c>
    </row>
    <row r="39" spans="1:8" x14ac:dyDescent="0.25">
      <c r="A39" s="3" t="s">
        <v>26</v>
      </c>
      <c r="B39" s="3" t="s">
        <v>27</v>
      </c>
      <c r="C39" s="3">
        <v>6012</v>
      </c>
      <c r="D39" s="3">
        <v>90</v>
      </c>
      <c r="E39" s="3" t="s">
        <v>31</v>
      </c>
      <c r="F39" s="3">
        <v>57</v>
      </c>
      <c r="G39" s="3">
        <v>1.98</v>
      </c>
      <c r="H39" s="4">
        <f>Tabla10[[#This Row],[CANTIDAD]]*Tabla10[[#This Row],[Costo ]]</f>
        <v>112.86</v>
      </c>
    </row>
    <row r="40" spans="1:8" x14ac:dyDescent="0.25">
      <c r="A40" s="3" t="s">
        <v>26</v>
      </c>
      <c r="B40" s="3" t="s">
        <v>27</v>
      </c>
      <c r="C40" s="3">
        <v>6122</v>
      </c>
      <c r="D40" s="3">
        <v>95</v>
      </c>
      <c r="E40" s="3" t="s">
        <v>31</v>
      </c>
      <c r="F40" s="5">
        <v>1075</v>
      </c>
      <c r="G40" s="3">
        <v>1.98</v>
      </c>
      <c r="H40" s="4">
        <f>Tabla10[[#This Row],[CANTIDAD]]*Tabla10[[#This Row],[Costo ]]</f>
        <v>2128.5</v>
      </c>
    </row>
    <row r="41" spans="1:8" x14ac:dyDescent="0.25">
      <c r="A41" s="3" t="s">
        <v>26</v>
      </c>
      <c r="B41" s="3" t="s">
        <v>27</v>
      </c>
      <c r="C41" s="3"/>
      <c r="D41" s="3">
        <v>90</v>
      </c>
      <c r="E41" s="3" t="s">
        <v>32</v>
      </c>
      <c r="F41" s="3">
        <v>440</v>
      </c>
      <c r="G41" s="3">
        <v>1.98</v>
      </c>
      <c r="H41" s="4">
        <f>Tabla10[[#This Row],[CANTIDAD]]*Tabla10[[#This Row],[Costo ]]</f>
        <v>871.2</v>
      </c>
    </row>
    <row r="42" spans="1:8" x14ac:dyDescent="0.25">
      <c r="A42" s="3" t="s">
        <v>26</v>
      </c>
      <c r="B42" s="3" t="s">
        <v>27</v>
      </c>
      <c r="C42" s="3">
        <v>6148</v>
      </c>
      <c r="D42" s="3">
        <v>90</v>
      </c>
      <c r="E42" s="3" t="s">
        <v>33</v>
      </c>
      <c r="F42" s="3">
        <v>261</v>
      </c>
      <c r="G42" s="3">
        <v>1.98</v>
      </c>
      <c r="H42" s="4">
        <f>Tabla10[[#This Row],[CANTIDAD]]*Tabla10[[#This Row],[Costo ]]</f>
        <v>516.78</v>
      </c>
    </row>
    <row r="43" spans="1:8" x14ac:dyDescent="0.25">
      <c r="A43" s="3" t="s">
        <v>26</v>
      </c>
      <c r="B43" s="3" t="s">
        <v>27</v>
      </c>
      <c r="C43" s="3">
        <v>10215</v>
      </c>
      <c r="D43" s="3">
        <v>95</v>
      </c>
      <c r="E43" s="3" t="s">
        <v>34</v>
      </c>
      <c r="F43" s="3">
        <v>212</v>
      </c>
      <c r="G43" s="3">
        <v>1.98</v>
      </c>
      <c r="H43" s="4">
        <f>Tabla10[[#This Row],[CANTIDAD]]*Tabla10[[#This Row],[Costo ]]</f>
        <v>419.76</v>
      </c>
    </row>
    <row r="44" spans="1:8" x14ac:dyDescent="0.25">
      <c r="A44" s="3" t="s">
        <v>26</v>
      </c>
      <c r="B44" s="3" t="s">
        <v>27</v>
      </c>
      <c r="C44" s="3">
        <v>6093</v>
      </c>
      <c r="D44" s="3">
        <v>90</v>
      </c>
      <c r="E44" s="3" t="s">
        <v>35</v>
      </c>
      <c r="F44" s="3">
        <v>0</v>
      </c>
      <c r="G44" s="3">
        <v>1.98</v>
      </c>
      <c r="H44" s="4">
        <f>Tabla10[[#This Row],[CANTIDAD]]*Tabla10[[#This Row],[Costo ]]</f>
        <v>0</v>
      </c>
    </row>
    <row r="45" spans="1:8" x14ac:dyDescent="0.25">
      <c r="A45" s="3" t="s">
        <v>26</v>
      </c>
      <c r="B45" s="3" t="s">
        <v>27</v>
      </c>
      <c r="C45" s="3"/>
      <c r="D45" s="3">
        <v>90</v>
      </c>
      <c r="E45" s="3" t="s">
        <v>36</v>
      </c>
      <c r="F45" s="3">
        <v>0</v>
      </c>
      <c r="G45" s="3">
        <v>1.98</v>
      </c>
      <c r="H45" s="4">
        <f>Tabla10[[#This Row],[CANTIDAD]]*Tabla10[[#This Row],[Costo ]]</f>
        <v>0</v>
      </c>
    </row>
    <row r="46" spans="1:8" x14ac:dyDescent="0.25">
      <c r="A46" s="3" t="s">
        <v>26</v>
      </c>
      <c r="B46" s="3" t="s">
        <v>27</v>
      </c>
      <c r="C46" s="3"/>
      <c r="D46" s="3">
        <v>95</v>
      </c>
      <c r="E46" s="3" t="s">
        <v>17</v>
      </c>
      <c r="F46" s="5">
        <v>2136</v>
      </c>
      <c r="G46" s="3">
        <v>1.98</v>
      </c>
      <c r="H46" s="4">
        <f>Tabla10[[#This Row],[CANTIDAD]]*Tabla10[[#This Row],[Costo ]]</f>
        <v>4229.28</v>
      </c>
    </row>
    <row r="47" spans="1:8" x14ac:dyDescent="0.25">
      <c r="A47" s="3" t="s">
        <v>26</v>
      </c>
      <c r="B47" s="3" t="s">
        <v>27</v>
      </c>
      <c r="C47" s="3">
        <v>6155</v>
      </c>
      <c r="D47" s="3">
        <v>95</v>
      </c>
      <c r="E47" s="3" t="s">
        <v>37</v>
      </c>
      <c r="F47" s="3">
        <v>612</v>
      </c>
      <c r="G47" s="3">
        <v>1.98</v>
      </c>
      <c r="H47" s="4">
        <f>Tabla10[[#This Row],[CANTIDAD]]*Tabla10[[#This Row],[Costo ]]</f>
        <v>1211.76</v>
      </c>
    </row>
    <row r="48" spans="1:8" x14ac:dyDescent="0.25">
      <c r="A48" s="3" t="s">
        <v>26</v>
      </c>
      <c r="B48" s="3" t="s">
        <v>27</v>
      </c>
      <c r="C48" s="3">
        <v>6151</v>
      </c>
      <c r="D48" s="3">
        <v>90</v>
      </c>
      <c r="E48" s="3" t="s">
        <v>38</v>
      </c>
      <c r="F48" s="3">
        <v>395</v>
      </c>
      <c r="G48" s="3">
        <v>1.98</v>
      </c>
      <c r="H48" s="4">
        <f>Tabla10[[#This Row],[CANTIDAD]]*Tabla10[[#This Row],[Costo ]]</f>
        <v>782.1</v>
      </c>
    </row>
    <row r="49" spans="1:8" x14ac:dyDescent="0.25">
      <c r="A49" s="3" t="s">
        <v>26</v>
      </c>
      <c r="B49" s="3" t="s">
        <v>27</v>
      </c>
      <c r="C49" s="3"/>
      <c r="D49" s="3">
        <v>90</v>
      </c>
      <c r="E49" s="3" t="s">
        <v>39</v>
      </c>
      <c r="F49" s="3">
        <v>0</v>
      </c>
      <c r="G49" s="3">
        <v>1.98</v>
      </c>
      <c r="H49" s="4">
        <f>Tabla10[[#This Row],[CANTIDAD]]*Tabla10[[#This Row],[Costo ]]</f>
        <v>0</v>
      </c>
    </row>
    <row r="50" spans="1:8" x14ac:dyDescent="0.25">
      <c r="A50" s="3" t="s">
        <v>26</v>
      </c>
      <c r="B50" s="3" t="s">
        <v>27</v>
      </c>
      <c r="C50" s="3">
        <v>6080</v>
      </c>
      <c r="D50" s="3">
        <v>95</v>
      </c>
      <c r="E50" s="3" t="s">
        <v>40</v>
      </c>
      <c r="F50" s="3">
        <v>466</v>
      </c>
      <c r="G50" s="3">
        <v>1.98</v>
      </c>
      <c r="H50" s="4">
        <f>Tabla10[[#This Row],[CANTIDAD]]*Tabla10[[#This Row],[Costo ]]</f>
        <v>922.68</v>
      </c>
    </row>
    <row r="51" spans="1:8" x14ac:dyDescent="0.25">
      <c r="A51" s="3" t="s">
        <v>26</v>
      </c>
      <c r="B51" s="3" t="s">
        <v>27</v>
      </c>
      <c r="C51" s="3">
        <v>6012</v>
      </c>
      <c r="D51" s="3">
        <v>90</v>
      </c>
      <c r="E51" s="3" t="s">
        <v>41</v>
      </c>
      <c r="F51" s="3">
        <v>0</v>
      </c>
      <c r="G51" s="3">
        <v>1.98</v>
      </c>
      <c r="H51" s="4">
        <f>Tabla10[[#This Row],[CANTIDAD]]*Tabla10[[#This Row],[Costo ]]</f>
        <v>0</v>
      </c>
    </row>
    <row r="52" spans="1:8" x14ac:dyDescent="0.25">
      <c r="A52" s="3" t="s">
        <v>26</v>
      </c>
      <c r="B52" s="3" t="s">
        <v>27</v>
      </c>
      <c r="C52" s="3"/>
      <c r="D52" s="3">
        <v>90</v>
      </c>
      <c r="E52" s="3" t="s">
        <v>42</v>
      </c>
      <c r="F52" s="3">
        <v>720</v>
      </c>
      <c r="G52" s="3">
        <v>1.98</v>
      </c>
      <c r="H52" s="4">
        <f>Tabla10[[#This Row],[CANTIDAD]]*Tabla10[[#This Row],[Costo ]]</f>
        <v>1425.6</v>
      </c>
    </row>
    <row r="53" spans="1:8" x14ac:dyDescent="0.25">
      <c r="A53" s="3" t="s">
        <v>26</v>
      </c>
      <c r="B53" s="3" t="s">
        <v>27</v>
      </c>
      <c r="C53" s="3"/>
      <c r="D53" s="3">
        <v>95</v>
      </c>
      <c r="E53" s="3" t="s">
        <v>42</v>
      </c>
      <c r="F53" s="3">
        <v>650</v>
      </c>
      <c r="G53" s="3">
        <v>1.98</v>
      </c>
      <c r="H53" s="4">
        <f>Tabla10[[#This Row],[CANTIDAD]]*Tabla10[[#This Row],[Costo ]]</f>
        <v>1287</v>
      </c>
    </row>
    <row r="54" spans="1:8" x14ac:dyDescent="0.25">
      <c r="A54" s="3" t="s">
        <v>26</v>
      </c>
      <c r="B54" s="3" t="s">
        <v>27</v>
      </c>
      <c r="C54" s="3">
        <v>6166</v>
      </c>
      <c r="D54" s="3">
        <v>90</v>
      </c>
      <c r="E54" s="3" t="s">
        <v>43</v>
      </c>
      <c r="F54" s="3">
        <v>72</v>
      </c>
      <c r="G54" s="3">
        <v>1.98</v>
      </c>
      <c r="H54" s="4">
        <f>Tabla10[[#This Row],[CANTIDAD]]*Tabla10[[#This Row],[Costo ]]</f>
        <v>142.56</v>
      </c>
    </row>
    <row r="55" spans="1:8" x14ac:dyDescent="0.25">
      <c r="A55" s="3" t="s">
        <v>26</v>
      </c>
      <c r="B55" s="3" t="s">
        <v>27</v>
      </c>
      <c r="C55" s="3">
        <v>6164</v>
      </c>
      <c r="D55" s="3">
        <v>95</v>
      </c>
      <c r="E55" s="3" t="s">
        <v>43</v>
      </c>
      <c r="F55" s="3">
        <v>201</v>
      </c>
      <c r="G55" s="3">
        <v>1.98</v>
      </c>
      <c r="H55" s="4">
        <f>Tabla10[[#This Row],[CANTIDAD]]*Tabla10[[#This Row],[Costo ]]</f>
        <v>397.98</v>
      </c>
    </row>
    <row r="56" spans="1:8" x14ac:dyDescent="0.25">
      <c r="A56" s="3" t="s">
        <v>26</v>
      </c>
      <c r="B56" s="3" t="s">
        <v>27</v>
      </c>
      <c r="C56" s="3"/>
      <c r="D56" s="3">
        <v>90</v>
      </c>
      <c r="E56" s="3" t="s">
        <v>44</v>
      </c>
      <c r="F56" s="3">
        <v>341</v>
      </c>
      <c r="G56" s="3">
        <v>1.98</v>
      </c>
      <c r="H56" s="4">
        <f>Tabla10[[#This Row],[CANTIDAD]]*Tabla10[[#This Row],[Costo ]]</f>
        <v>675.18</v>
      </c>
    </row>
    <row r="57" spans="1:8" x14ac:dyDescent="0.25">
      <c r="A57" s="3" t="s">
        <v>26</v>
      </c>
      <c r="B57" s="3" t="s">
        <v>27</v>
      </c>
      <c r="C57" s="3"/>
      <c r="D57" s="3">
        <v>95</v>
      </c>
      <c r="E57" s="3" t="s">
        <v>44</v>
      </c>
      <c r="F57" s="3">
        <v>79</v>
      </c>
      <c r="G57" s="3">
        <v>1.98</v>
      </c>
      <c r="H57" s="4">
        <f>Tabla10[[#This Row],[CANTIDAD]]*Tabla10[[#This Row],[Costo ]]</f>
        <v>156.41999999999999</v>
      </c>
    </row>
    <row r="58" spans="1:8" x14ac:dyDescent="0.25">
      <c r="A58" s="3" t="s">
        <v>26</v>
      </c>
      <c r="B58" s="3" t="s">
        <v>27</v>
      </c>
      <c r="C58" s="3">
        <v>6061</v>
      </c>
      <c r="D58" s="3">
        <v>95</v>
      </c>
      <c r="E58" s="3" t="s">
        <v>45</v>
      </c>
      <c r="F58" s="3">
        <v>0</v>
      </c>
      <c r="G58" s="3">
        <v>1.98</v>
      </c>
      <c r="H58" s="4">
        <f>Tabla10[[#This Row],[CANTIDAD]]*Tabla10[[#This Row],[Costo ]]</f>
        <v>0</v>
      </c>
    </row>
    <row r="59" spans="1:8" x14ac:dyDescent="0.25">
      <c r="A59" s="3" t="s">
        <v>26</v>
      </c>
      <c r="B59" s="3" t="s">
        <v>27</v>
      </c>
      <c r="C59" s="3">
        <v>10211</v>
      </c>
      <c r="D59" s="3">
        <v>95</v>
      </c>
      <c r="E59" s="3" t="s">
        <v>46</v>
      </c>
      <c r="F59" s="3">
        <v>0</v>
      </c>
      <c r="G59" s="3">
        <v>1.98</v>
      </c>
      <c r="H59" s="4">
        <f>Tabla10[[#This Row],[CANTIDAD]]*Tabla10[[#This Row],[Costo ]]</f>
        <v>0</v>
      </c>
    </row>
    <row r="60" spans="1:8" x14ac:dyDescent="0.25">
      <c r="A60" s="3" t="s">
        <v>26</v>
      </c>
      <c r="B60" s="3" t="s">
        <v>27</v>
      </c>
      <c r="C60" s="3">
        <v>6075</v>
      </c>
      <c r="D60" s="3">
        <v>90</v>
      </c>
      <c r="E60" s="3" t="s">
        <v>47</v>
      </c>
      <c r="F60" s="5">
        <v>1400</v>
      </c>
      <c r="G60" s="3">
        <v>1.98</v>
      </c>
      <c r="H60" s="4">
        <f>Tabla10[[#This Row],[CANTIDAD]]*Tabla10[[#This Row],[Costo ]]</f>
        <v>2772</v>
      </c>
    </row>
    <row r="61" spans="1:8" x14ac:dyDescent="0.25">
      <c r="A61" s="3" t="s">
        <v>26</v>
      </c>
      <c r="B61" s="3" t="s">
        <v>27</v>
      </c>
      <c r="C61" s="3">
        <v>6121</v>
      </c>
      <c r="D61" s="3">
        <v>95</v>
      </c>
      <c r="E61" s="3" t="s">
        <v>47</v>
      </c>
      <c r="F61" s="3">
        <v>744</v>
      </c>
      <c r="G61" s="3">
        <v>1.98</v>
      </c>
      <c r="H61" s="4">
        <f>Tabla10[[#This Row],[CANTIDAD]]*Tabla10[[#This Row],[Costo ]]</f>
        <v>1473.12</v>
      </c>
    </row>
    <row r="62" spans="1:8" x14ac:dyDescent="0.25">
      <c r="A62" s="3" t="s">
        <v>26</v>
      </c>
      <c r="B62" s="3" t="s">
        <v>27</v>
      </c>
      <c r="C62" s="3">
        <v>6075</v>
      </c>
      <c r="D62" s="3">
        <v>120</v>
      </c>
      <c r="E62" s="3" t="s">
        <v>47</v>
      </c>
      <c r="F62" s="3">
        <v>461</v>
      </c>
      <c r="G62" s="3">
        <v>1.98</v>
      </c>
      <c r="H62" s="4">
        <f>Tabla10[[#This Row],[CANTIDAD]]*Tabla10[[#This Row],[Costo ]]</f>
        <v>912.78</v>
      </c>
    </row>
    <row r="63" spans="1:8" x14ac:dyDescent="0.25">
      <c r="A63" s="3" t="s">
        <v>26</v>
      </c>
      <c r="B63" s="3" t="s">
        <v>27</v>
      </c>
      <c r="C63" s="3"/>
      <c r="D63" s="3">
        <v>90</v>
      </c>
      <c r="E63" s="3" t="s">
        <v>48</v>
      </c>
      <c r="F63" s="3">
        <v>328</v>
      </c>
      <c r="G63" s="3">
        <v>1.98</v>
      </c>
      <c r="H63" s="4">
        <f>Tabla10[[#This Row],[CANTIDAD]]*Tabla10[[#This Row],[Costo ]]</f>
        <v>649.43999999999994</v>
      </c>
    </row>
    <row r="64" spans="1:8" x14ac:dyDescent="0.25">
      <c r="A64" s="3" t="s">
        <v>26</v>
      </c>
      <c r="B64" s="3" t="s">
        <v>27</v>
      </c>
      <c r="C64" s="3">
        <v>10623</v>
      </c>
      <c r="D64" s="3">
        <v>95</v>
      </c>
      <c r="E64" s="3" t="s">
        <v>48</v>
      </c>
      <c r="F64" s="5">
        <v>1472</v>
      </c>
      <c r="G64" s="3">
        <v>1.98</v>
      </c>
      <c r="H64" s="4">
        <f>Tabla10[[#This Row],[CANTIDAD]]*Tabla10[[#This Row],[Costo ]]</f>
        <v>2914.56</v>
      </c>
    </row>
    <row r="65" spans="1:8" x14ac:dyDescent="0.25">
      <c r="A65" s="3" t="s">
        <v>26</v>
      </c>
      <c r="B65" s="3" t="s">
        <v>27</v>
      </c>
      <c r="C65" s="3">
        <v>6024</v>
      </c>
      <c r="D65" s="3">
        <v>90</v>
      </c>
      <c r="E65" s="3" t="s">
        <v>49</v>
      </c>
      <c r="F65" s="3">
        <v>147</v>
      </c>
      <c r="G65" s="3">
        <v>1.98</v>
      </c>
      <c r="H65" s="4">
        <f>Tabla10[[#This Row],[CANTIDAD]]*Tabla10[[#This Row],[Costo ]]</f>
        <v>291.06</v>
      </c>
    </row>
    <row r="66" spans="1:8" x14ac:dyDescent="0.25">
      <c r="A66" s="3" t="s">
        <v>26</v>
      </c>
      <c r="B66" s="3" t="s">
        <v>27</v>
      </c>
      <c r="C66" s="3">
        <v>6022</v>
      </c>
      <c r="D66" s="3">
        <v>90</v>
      </c>
      <c r="E66" s="3" t="s">
        <v>50</v>
      </c>
      <c r="F66" s="3">
        <v>341</v>
      </c>
      <c r="G66" s="3">
        <v>1.98</v>
      </c>
      <c r="H66" s="4">
        <f>Tabla10[[#This Row],[CANTIDAD]]*Tabla10[[#This Row],[Costo ]]</f>
        <v>675.18</v>
      </c>
    </row>
    <row r="67" spans="1:8" x14ac:dyDescent="0.25">
      <c r="A67" s="3" t="s">
        <v>26</v>
      </c>
      <c r="B67" s="3" t="s">
        <v>27</v>
      </c>
      <c r="C67" s="3">
        <v>10212</v>
      </c>
      <c r="D67" s="3">
        <v>95</v>
      </c>
      <c r="E67" s="3" t="s">
        <v>50</v>
      </c>
      <c r="F67" s="3">
        <v>95</v>
      </c>
      <c r="G67" s="3">
        <v>1.98</v>
      </c>
      <c r="H67" s="4">
        <f>Tabla10[[#This Row],[CANTIDAD]]*Tabla10[[#This Row],[Costo ]]</f>
        <v>188.1</v>
      </c>
    </row>
    <row r="68" spans="1:8" x14ac:dyDescent="0.25">
      <c r="A68" s="3" t="s">
        <v>26</v>
      </c>
      <c r="B68" s="3" t="s">
        <v>27</v>
      </c>
      <c r="C68" s="3">
        <v>10216</v>
      </c>
      <c r="D68" s="3">
        <v>95</v>
      </c>
      <c r="E68" s="3" t="s">
        <v>51</v>
      </c>
      <c r="F68" s="3">
        <v>29</v>
      </c>
      <c r="G68" s="3">
        <v>1.98</v>
      </c>
      <c r="H68" s="4">
        <f>Tabla10[[#This Row],[CANTIDAD]]*Tabla10[[#This Row],[Costo ]]</f>
        <v>57.42</v>
      </c>
    </row>
    <row r="69" spans="1:8" x14ac:dyDescent="0.25">
      <c r="A69" s="3" t="s">
        <v>26</v>
      </c>
      <c r="B69" s="3" t="s">
        <v>27</v>
      </c>
      <c r="C69" s="3">
        <v>6113</v>
      </c>
      <c r="D69" s="3">
        <v>90</v>
      </c>
      <c r="E69" s="3" t="s">
        <v>52</v>
      </c>
      <c r="F69" s="3">
        <v>128</v>
      </c>
      <c r="G69" s="3">
        <v>1.98</v>
      </c>
      <c r="H69" s="4">
        <f>Tabla10[[#This Row],[CANTIDAD]]*Tabla10[[#This Row],[Costo ]]</f>
        <v>253.44</v>
      </c>
    </row>
    <row r="70" spans="1:8" x14ac:dyDescent="0.25">
      <c r="A70" s="3" t="s">
        <v>26</v>
      </c>
      <c r="B70" s="3" t="s">
        <v>27</v>
      </c>
      <c r="C70" s="3"/>
      <c r="D70" s="3">
        <v>95</v>
      </c>
      <c r="E70" s="3" t="s">
        <v>52</v>
      </c>
      <c r="F70" s="3">
        <v>180</v>
      </c>
      <c r="G70" s="3">
        <v>1.98</v>
      </c>
      <c r="H70" s="4">
        <f>Tabla10[[#This Row],[CANTIDAD]]*Tabla10[[#This Row],[Costo ]]</f>
        <v>356.4</v>
      </c>
    </row>
    <row r="71" spans="1:8" x14ac:dyDescent="0.25">
      <c r="A71" s="3" t="s">
        <v>26</v>
      </c>
      <c r="B71" s="3" t="s">
        <v>27</v>
      </c>
      <c r="C71" s="3">
        <v>6076</v>
      </c>
      <c r="D71" s="3">
        <v>90</v>
      </c>
      <c r="E71" s="3" t="s">
        <v>53</v>
      </c>
      <c r="F71" s="3">
        <v>544</v>
      </c>
      <c r="G71" s="3">
        <v>1.98</v>
      </c>
      <c r="H71" s="4">
        <f>Tabla10[[#This Row],[CANTIDAD]]*Tabla10[[#This Row],[Costo ]]</f>
        <v>1077.1199999999999</v>
      </c>
    </row>
    <row r="72" spans="1:8" x14ac:dyDescent="0.25">
      <c r="A72" s="3" t="s">
        <v>26</v>
      </c>
      <c r="B72" s="3" t="s">
        <v>27</v>
      </c>
      <c r="C72" s="3"/>
      <c r="D72" s="3">
        <v>95</v>
      </c>
      <c r="E72" s="3" t="s">
        <v>53</v>
      </c>
      <c r="F72" s="3">
        <v>157</v>
      </c>
      <c r="G72" s="3">
        <v>1.98</v>
      </c>
      <c r="H72" s="4">
        <f>Tabla10[[#This Row],[CANTIDAD]]*Tabla10[[#This Row],[Costo ]]</f>
        <v>310.86</v>
      </c>
    </row>
    <row r="73" spans="1:8" x14ac:dyDescent="0.25">
      <c r="A73" s="3" t="s">
        <v>26</v>
      </c>
      <c r="B73" s="3" t="s">
        <v>27</v>
      </c>
      <c r="C73" s="3">
        <v>6147</v>
      </c>
      <c r="D73" s="3">
        <v>90</v>
      </c>
      <c r="E73" s="3" t="s">
        <v>54</v>
      </c>
      <c r="F73" s="3">
        <v>360</v>
      </c>
      <c r="G73" s="3">
        <v>1.98</v>
      </c>
      <c r="H73" s="4">
        <f>Tabla10[[#This Row],[CANTIDAD]]*Tabla10[[#This Row],[Costo ]]</f>
        <v>712.8</v>
      </c>
    </row>
    <row r="74" spans="1:8" x14ac:dyDescent="0.25">
      <c r="A74" s="3" t="s">
        <v>26</v>
      </c>
      <c r="B74" s="3" t="s">
        <v>27</v>
      </c>
      <c r="C74" s="3">
        <v>10214</v>
      </c>
      <c r="D74" s="3">
        <v>95</v>
      </c>
      <c r="E74" s="3" t="s">
        <v>54</v>
      </c>
      <c r="F74" s="3">
        <v>360</v>
      </c>
      <c r="G74" s="3">
        <v>1.98</v>
      </c>
      <c r="H74" s="4">
        <f>Tabla10[[#This Row],[CANTIDAD]]*Tabla10[[#This Row],[Costo ]]</f>
        <v>712.8</v>
      </c>
    </row>
    <row r="75" spans="1:8" x14ac:dyDescent="0.25">
      <c r="A75" s="3" t="s">
        <v>26</v>
      </c>
      <c r="B75" s="3" t="s">
        <v>27</v>
      </c>
      <c r="C75" s="3">
        <v>10214</v>
      </c>
      <c r="D75" s="3">
        <v>95</v>
      </c>
      <c r="E75" s="3" t="s">
        <v>55</v>
      </c>
      <c r="F75" s="3">
        <v>740</v>
      </c>
      <c r="G75" s="3">
        <v>1.98</v>
      </c>
      <c r="H75" s="4">
        <f>Tabla10[[#This Row],[CANTIDAD]]*Tabla10[[#This Row],[Costo ]]</f>
        <v>1465.2</v>
      </c>
    </row>
    <row r="76" spans="1:8" x14ac:dyDescent="0.25">
      <c r="A76" s="3" t="s">
        <v>26</v>
      </c>
      <c r="B76" s="3" t="s">
        <v>27</v>
      </c>
      <c r="C76" s="3">
        <v>6156</v>
      </c>
      <c r="D76" s="3">
        <v>95</v>
      </c>
      <c r="E76" s="3" t="s">
        <v>56</v>
      </c>
      <c r="F76" s="3">
        <v>316</v>
      </c>
      <c r="G76" s="3">
        <v>1.98</v>
      </c>
      <c r="H76" s="4">
        <f>Tabla10[[#This Row],[CANTIDAD]]*Tabla10[[#This Row],[Costo ]]</f>
        <v>625.67999999999995</v>
      </c>
    </row>
    <row r="77" spans="1:8" x14ac:dyDescent="0.25">
      <c r="A77" s="3" t="s">
        <v>26</v>
      </c>
      <c r="B77" s="3" t="s">
        <v>27</v>
      </c>
      <c r="C77" s="3">
        <v>6157</v>
      </c>
      <c r="D77" s="3">
        <v>90</v>
      </c>
      <c r="E77" s="3" t="s">
        <v>57</v>
      </c>
      <c r="F77" s="3">
        <v>460</v>
      </c>
      <c r="G77" s="3">
        <v>1.98</v>
      </c>
      <c r="H77" s="4">
        <f>Tabla10[[#This Row],[CANTIDAD]]*Tabla10[[#This Row],[Costo ]]</f>
        <v>910.8</v>
      </c>
    </row>
    <row r="78" spans="1:8" x14ac:dyDescent="0.25">
      <c r="A78" s="3" t="s">
        <v>26</v>
      </c>
      <c r="B78" s="3" t="s">
        <v>27</v>
      </c>
      <c r="C78" s="3"/>
      <c r="D78" s="3">
        <v>90</v>
      </c>
      <c r="E78" s="3" t="s">
        <v>58</v>
      </c>
      <c r="F78" s="3">
        <v>0</v>
      </c>
      <c r="G78" s="3">
        <v>1.98</v>
      </c>
      <c r="H78" s="4">
        <f>Tabla10[[#This Row],[CANTIDAD]]*Tabla10[[#This Row],[Costo ]]</f>
        <v>0</v>
      </c>
    </row>
    <row r="79" spans="1:8" x14ac:dyDescent="0.25">
      <c r="A79" s="3" t="s">
        <v>26</v>
      </c>
      <c r="B79" s="3" t="s">
        <v>27</v>
      </c>
      <c r="C79" s="3">
        <v>6090</v>
      </c>
      <c r="D79" s="3">
        <v>95</v>
      </c>
      <c r="E79" s="3" t="s">
        <v>58</v>
      </c>
      <c r="F79" s="3">
        <v>0</v>
      </c>
      <c r="G79" s="3">
        <v>1.98</v>
      </c>
      <c r="H79" s="4">
        <f>Tabla10[[#This Row],[CANTIDAD]]*Tabla10[[#This Row],[Costo ]]</f>
        <v>0</v>
      </c>
    </row>
    <row r="80" spans="1:8" x14ac:dyDescent="0.25">
      <c r="A80" s="3" t="s">
        <v>26</v>
      </c>
      <c r="B80" s="3" t="s">
        <v>27</v>
      </c>
      <c r="C80" s="3">
        <v>6117</v>
      </c>
      <c r="D80" s="3">
        <v>90</v>
      </c>
      <c r="E80" s="3" t="s">
        <v>59</v>
      </c>
      <c r="F80" s="3">
        <v>185</v>
      </c>
      <c r="G80" s="3">
        <v>1.98</v>
      </c>
      <c r="H80" s="4">
        <f>Tabla10[[#This Row],[CANTIDAD]]*Tabla10[[#This Row],[Costo ]]</f>
        <v>366.3</v>
      </c>
    </row>
    <row r="81" spans="1:8" x14ac:dyDescent="0.25">
      <c r="A81" s="3" t="s">
        <v>26</v>
      </c>
      <c r="B81" s="3" t="s">
        <v>27</v>
      </c>
      <c r="C81" s="3"/>
      <c r="D81" s="3">
        <v>95</v>
      </c>
      <c r="E81" s="3" t="s">
        <v>59</v>
      </c>
      <c r="F81" s="3">
        <v>224</v>
      </c>
      <c r="G81" s="3">
        <v>1.98</v>
      </c>
      <c r="H81" s="4">
        <f>Tabla10[[#This Row],[CANTIDAD]]*Tabla10[[#This Row],[Costo ]]</f>
        <v>443.52</v>
      </c>
    </row>
    <row r="82" spans="1:8" x14ac:dyDescent="0.25">
      <c r="A82" s="3" t="s">
        <v>60</v>
      </c>
      <c r="B82" s="3"/>
      <c r="C82" s="3">
        <v>6321</v>
      </c>
      <c r="D82" s="3">
        <v>70</v>
      </c>
      <c r="E82" s="3" t="s">
        <v>61</v>
      </c>
      <c r="F82" s="5">
        <v>1080</v>
      </c>
      <c r="G82" s="3">
        <v>1.98</v>
      </c>
      <c r="H82" s="4">
        <f>Tabla10[[#This Row],[CANTIDAD]]*Tabla10[[#This Row],[Costo ]]</f>
        <v>2138.4</v>
      </c>
    </row>
    <row r="83" spans="1:8" x14ac:dyDescent="0.25">
      <c r="A83" s="3" t="s">
        <v>60</v>
      </c>
      <c r="B83" s="3"/>
      <c r="C83" s="3">
        <v>6048</v>
      </c>
      <c r="D83" s="3">
        <v>80</v>
      </c>
      <c r="E83" s="3" t="s">
        <v>61</v>
      </c>
      <c r="F83" s="5">
        <v>2045</v>
      </c>
      <c r="G83" s="3">
        <v>1.98</v>
      </c>
      <c r="H83" s="4">
        <f>Tabla10[[#This Row],[CANTIDAD]]*Tabla10[[#This Row],[Costo ]]</f>
        <v>4049.1</v>
      </c>
    </row>
    <row r="84" spans="1:8" x14ac:dyDescent="0.25">
      <c r="A84" s="3" t="s">
        <v>60</v>
      </c>
      <c r="B84" s="3"/>
      <c r="C84" s="3">
        <v>6057</v>
      </c>
      <c r="D84" s="3">
        <v>90</v>
      </c>
      <c r="E84" s="3" t="s">
        <v>61</v>
      </c>
      <c r="F84" s="3">
        <v>0</v>
      </c>
      <c r="G84" s="3">
        <v>1.98</v>
      </c>
      <c r="H84" s="4">
        <f>Tabla10[[#This Row],[CANTIDAD]]*Tabla10[[#This Row],[Costo ]]</f>
        <v>0</v>
      </c>
    </row>
    <row r="85" spans="1:8" x14ac:dyDescent="0.25">
      <c r="A85" s="3" t="s">
        <v>60</v>
      </c>
      <c r="B85" s="3"/>
      <c r="C85" s="3">
        <v>6325</v>
      </c>
      <c r="D85" s="3">
        <v>100</v>
      </c>
      <c r="E85" s="3" t="s">
        <v>61</v>
      </c>
      <c r="F85" s="3">
        <v>535</v>
      </c>
      <c r="G85" s="3">
        <v>1.98</v>
      </c>
      <c r="H85" s="4">
        <f>Tabla10[[#This Row],[CANTIDAD]]*Tabla10[[#This Row],[Costo ]]</f>
        <v>1059.3</v>
      </c>
    </row>
    <row r="86" spans="1:8" x14ac:dyDescent="0.25">
      <c r="A86" s="3" t="s">
        <v>60</v>
      </c>
      <c r="B86" s="3"/>
      <c r="C86" s="3">
        <v>6020</v>
      </c>
      <c r="D86" s="3">
        <v>120</v>
      </c>
      <c r="E86" s="3" t="s">
        <v>61</v>
      </c>
      <c r="F86" s="3">
        <v>27</v>
      </c>
      <c r="G86" s="3">
        <v>1.98</v>
      </c>
      <c r="H86" s="4">
        <f>Tabla10[[#This Row],[CANTIDAD]]*Tabla10[[#This Row],[Costo ]]</f>
        <v>53.46</v>
      </c>
    </row>
    <row r="87" spans="1:8" x14ac:dyDescent="0.25">
      <c r="A87" s="3" t="s">
        <v>60</v>
      </c>
      <c r="B87" s="3"/>
      <c r="C87" s="3">
        <v>6038</v>
      </c>
      <c r="D87" s="3">
        <v>140</v>
      </c>
      <c r="E87" s="3" t="s">
        <v>61</v>
      </c>
      <c r="F87" s="3">
        <v>1230</v>
      </c>
      <c r="G87" s="3">
        <v>1.98</v>
      </c>
      <c r="H87" s="4">
        <f>Tabla10[[#This Row],[CANTIDAD]]*Tabla10[[#This Row],[Costo ]]</f>
        <v>2435.4</v>
      </c>
    </row>
    <row r="88" spans="1:8" x14ac:dyDescent="0.25">
      <c r="A88" s="3" t="s">
        <v>60</v>
      </c>
      <c r="B88" s="3"/>
      <c r="C88" s="3">
        <v>6179</v>
      </c>
      <c r="D88" s="3">
        <v>150</v>
      </c>
      <c r="E88" s="3" t="s">
        <v>61</v>
      </c>
      <c r="F88" s="5">
        <v>2042</v>
      </c>
      <c r="G88" s="3">
        <v>1.98</v>
      </c>
      <c r="H88" s="4">
        <f>Tabla10[[#This Row],[CANTIDAD]]*Tabla10[[#This Row],[Costo ]]</f>
        <v>4043.16</v>
      </c>
    </row>
    <row r="89" spans="1:8" x14ac:dyDescent="0.25">
      <c r="A89" s="3" t="s">
        <v>60</v>
      </c>
      <c r="B89" s="3"/>
      <c r="C89" s="6">
        <v>6341</v>
      </c>
      <c r="D89" s="3">
        <v>70</v>
      </c>
      <c r="E89" s="3" t="s">
        <v>62</v>
      </c>
      <c r="F89" s="5">
        <v>1293</v>
      </c>
      <c r="G89" s="3">
        <v>1.98</v>
      </c>
      <c r="H89" s="4">
        <f>Tabla10[[#This Row],[CANTIDAD]]*Tabla10[[#This Row],[Costo ]]</f>
        <v>2560.14</v>
      </c>
    </row>
    <row r="90" spans="1:8" x14ac:dyDescent="0.25">
      <c r="A90" s="3" t="s">
        <v>60</v>
      </c>
      <c r="B90" s="3"/>
      <c r="C90" s="6">
        <v>6047</v>
      </c>
      <c r="D90" s="3">
        <v>80</v>
      </c>
      <c r="E90" s="3" t="s">
        <v>62</v>
      </c>
      <c r="F90" s="3">
        <v>547</v>
      </c>
      <c r="G90" s="3">
        <v>1.98</v>
      </c>
      <c r="H90" s="4">
        <f>Tabla10[[#This Row],[CANTIDAD]]*Tabla10[[#This Row],[Costo ]]</f>
        <v>1083.06</v>
      </c>
    </row>
    <row r="91" spans="1:8" x14ac:dyDescent="0.25">
      <c r="A91" s="3" t="s">
        <v>60</v>
      </c>
      <c r="B91" s="3"/>
      <c r="C91" s="6">
        <v>6055</v>
      </c>
      <c r="D91" s="3">
        <v>90</v>
      </c>
      <c r="E91" s="3" t="s">
        <v>62</v>
      </c>
      <c r="F91" s="5">
        <v>1200</v>
      </c>
      <c r="G91" s="3">
        <v>1.98</v>
      </c>
      <c r="H91" s="4">
        <f>Tabla10[[#This Row],[CANTIDAD]]*Tabla10[[#This Row],[Costo ]]</f>
        <v>2376</v>
      </c>
    </row>
    <row r="92" spans="1:8" x14ac:dyDescent="0.25">
      <c r="A92" s="3" t="s">
        <v>60</v>
      </c>
      <c r="B92" s="3"/>
      <c r="C92" s="6">
        <v>6347</v>
      </c>
      <c r="D92" s="3">
        <v>120</v>
      </c>
      <c r="E92" s="3" t="s">
        <v>62</v>
      </c>
      <c r="F92" s="5">
        <v>1148</v>
      </c>
      <c r="G92" s="3">
        <v>1.98</v>
      </c>
      <c r="H92" s="4">
        <f>Tabla10[[#This Row],[CANTIDAD]]*Tabla10[[#This Row],[Costo ]]</f>
        <v>2273.04</v>
      </c>
    </row>
    <row r="93" spans="1:8" x14ac:dyDescent="0.25">
      <c r="A93" s="3" t="s">
        <v>60</v>
      </c>
      <c r="B93" s="3"/>
      <c r="C93" s="3">
        <v>6301</v>
      </c>
      <c r="D93" s="3">
        <v>70</v>
      </c>
      <c r="E93" s="3" t="s">
        <v>13</v>
      </c>
      <c r="F93" s="5">
        <v>0</v>
      </c>
      <c r="G93" s="3">
        <v>1.98</v>
      </c>
      <c r="H93" s="4">
        <f>Tabla10[[#This Row],[CANTIDAD]]*Tabla10[[#This Row],[Costo ]]</f>
        <v>0</v>
      </c>
    </row>
    <row r="94" spans="1:8" x14ac:dyDescent="0.25">
      <c r="A94" s="3" t="s">
        <v>60</v>
      </c>
      <c r="B94" s="3"/>
      <c r="C94" s="3">
        <v>6015</v>
      </c>
      <c r="D94" s="3">
        <v>80</v>
      </c>
      <c r="E94" s="3" t="s">
        <v>13</v>
      </c>
      <c r="F94" s="3">
        <v>0</v>
      </c>
      <c r="G94" s="3">
        <v>1.98</v>
      </c>
      <c r="H94" s="4">
        <f>Tabla10[[#This Row],[CANTIDAD]]*Tabla10[[#This Row],[Costo ]]</f>
        <v>0</v>
      </c>
    </row>
    <row r="95" spans="1:8" x14ac:dyDescent="0.25">
      <c r="A95" s="3" t="s">
        <v>60</v>
      </c>
      <c r="B95" s="3"/>
      <c r="C95" s="3">
        <v>6017</v>
      </c>
      <c r="D95" s="3">
        <v>90</v>
      </c>
      <c r="E95" s="3" t="s">
        <v>13</v>
      </c>
      <c r="F95" s="5">
        <v>18900</v>
      </c>
      <c r="G95" s="3">
        <v>1.98</v>
      </c>
      <c r="H95" s="4">
        <f>Tabla10[[#This Row],[CANTIDAD]]*Tabla10[[#This Row],[Costo ]]</f>
        <v>37422</v>
      </c>
    </row>
    <row r="96" spans="1:8" x14ac:dyDescent="0.25">
      <c r="A96" s="3" t="s">
        <v>60</v>
      </c>
      <c r="B96" s="3"/>
      <c r="C96" s="3">
        <v>6018</v>
      </c>
      <c r="D96" s="3">
        <v>100</v>
      </c>
      <c r="E96" s="3" t="s">
        <v>13</v>
      </c>
      <c r="F96" s="5">
        <v>0</v>
      </c>
      <c r="G96" s="3">
        <v>1.98</v>
      </c>
      <c r="H96" s="4">
        <f>Tabla10[[#This Row],[CANTIDAD]]*Tabla10[[#This Row],[Costo ]]</f>
        <v>0</v>
      </c>
    </row>
    <row r="97" spans="1:8" x14ac:dyDescent="0.25">
      <c r="A97" s="3" t="s">
        <v>60</v>
      </c>
      <c r="B97" s="3"/>
      <c r="C97" s="3">
        <v>6029</v>
      </c>
      <c r="D97" s="3">
        <v>110</v>
      </c>
      <c r="E97" s="3" t="s">
        <v>13</v>
      </c>
      <c r="F97" s="5">
        <v>4800</v>
      </c>
      <c r="G97" s="3">
        <v>1.98</v>
      </c>
      <c r="H97" s="4">
        <f>Tabla10[[#This Row],[CANTIDAD]]*Tabla10[[#This Row],[Costo ]]</f>
        <v>9504</v>
      </c>
    </row>
    <row r="98" spans="1:8" x14ac:dyDescent="0.25">
      <c r="A98" s="3" t="s">
        <v>60</v>
      </c>
      <c r="B98" s="3"/>
      <c r="C98" s="3">
        <v>6050</v>
      </c>
      <c r="D98" s="3">
        <v>120</v>
      </c>
      <c r="E98" s="3" t="s">
        <v>13</v>
      </c>
      <c r="F98" s="3">
        <v>0</v>
      </c>
      <c r="G98" s="3">
        <v>1.98</v>
      </c>
      <c r="H98" s="4">
        <f>Tabla10[[#This Row],[CANTIDAD]]*Tabla10[[#This Row],[Costo ]]</f>
        <v>0</v>
      </c>
    </row>
    <row r="99" spans="1:8" x14ac:dyDescent="0.25">
      <c r="A99" s="3" t="s">
        <v>60</v>
      </c>
      <c r="B99" s="3"/>
      <c r="C99" s="3">
        <v>6050</v>
      </c>
      <c r="D99" s="3">
        <v>120</v>
      </c>
      <c r="E99" s="3" t="s">
        <v>13</v>
      </c>
      <c r="F99" s="3">
        <v>0</v>
      </c>
      <c r="G99" s="3">
        <v>1.98</v>
      </c>
      <c r="H99" s="4">
        <f>Tabla10[[#This Row],[CANTIDAD]]*Tabla10[[#This Row],[Costo ]]</f>
        <v>0</v>
      </c>
    </row>
    <row r="100" spans="1:8" x14ac:dyDescent="0.25">
      <c r="A100" s="3" t="s">
        <v>60</v>
      </c>
      <c r="B100" s="3"/>
      <c r="C100" s="3">
        <v>6051</v>
      </c>
      <c r="D100" s="3">
        <v>140</v>
      </c>
      <c r="E100" s="3" t="s">
        <v>13</v>
      </c>
      <c r="F100" s="5">
        <v>4744</v>
      </c>
      <c r="G100" s="3">
        <v>1.98</v>
      </c>
      <c r="H100" s="4">
        <f>Tabla10[[#This Row],[CANTIDAD]]*Tabla10[[#This Row],[Costo ]]</f>
        <v>9393.1200000000008</v>
      </c>
    </row>
    <row r="101" spans="1:8" x14ac:dyDescent="0.25">
      <c r="A101" s="3" t="s">
        <v>60</v>
      </c>
      <c r="B101" s="3"/>
      <c r="C101" s="3">
        <v>6007</v>
      </c>
      <c r="D101" s="3">
        <v>150</v>
      </c>
      <c r="E101" s="3" t="s">
        <v>13</v>
      </c>
      <c r="F101" s="5">
        <v>6926</v>
      </c>
      <c r="G101" s="3">
        <v>1.98</v>
      </c>
      <c r="H101" s="4">
        <f>Tabla10[[#This Row],[CANTIDAD]]*Tabla10[[#This Row],[Costo ]]</f>
        <v>13713.48</v>
      </c>
    </row>
    <row r="102" spans="1:8" x14ac:dyDescent="0.25">
      <c r="A102" s="3" t="s">
        <v>60</v>
      </c>
      <c r="B102" s="3"/>
      <c r="C102" s="3">
        <v>6143</v>
      </c>
      <c r="D102" s="3">
        <v>70</v>
      </c>
      <c r="E102" s="3" t="s">
        <v>63</v>
      </c>
      <c r="F102" s="3">
        <v>504</v>
      </c>
      <c r="G102" s="3">
        <v>1.98</v>
      </c>
      <c r="H102" s="4">
        <f>Tabla10[[#This Row],[CANTIDAD]]*Tabla10[[#This Row],[Costo ]]</f>
        <v>997.92</v>
      </c>
    </row>
    <row r="103" spans="1:8" x14ac:dyDescent="0.25">
      <c r="A103" s="3" t="s">
        <v>60</v>
      </c>
      <c r="B103" s="3"/>
      <c r="C103" s="3">
        <v>6668</v>
      </c>
      <c r="D103" s="3">
        <v>80</v>
      </c>
      <c r="E103" s="3" t="s">
        <v>63</v>
      </c>
      <c r="F103" s="3">
        <v>574</v>
      </c>
      <c r="G103" s="3">
        <v>1.98</v>
      </c>
      <c r="H103" s="4">
        <f>Tabla10[[#This Row],[CANTIDAD]]*Tabla10[[#This Row],[Costo ]]</f>
        <v>1136.52</v>
      </c>
    </row>
    <row r="104" spans="1:8" x14ac:dyDescent="0.25">
      <c r="A104" s="3" t="s">
        <v>60</v>
      </c>
      <c r="B104" s="3"/>
      <c r="C104" s="3">
        <v>6663</v>
      </c>
      <c r="D104" s="3">
        <v>90</v>
      </c>
      <c r="E104" s="3" t="s">
        <v>63</v>
      </c>
      <c r="F104" s="5">
        <v>3096</v>
      </c>
      <c r="G104" s="3">
        <v>1.98</v>
      </c>
      <c r="H104" s="4">
        <f>Tabla10[[#This Row],[CANTIDAD]]*Tabla10[[#This Row],[Costo ]]</f>
        <v>6130.08</v>
      </c>
    </row>
    <row r="105" spans="1:8" x14ac:dyDescent="0.25">
      <c r="A105" s="3" t="s">
        <v>60</v>
      </c>
      <c r="B105" s="3"/>
      <c r="C105" s="3">
        <v>6691</v>
      </c>
      <c r="D105" s="3">
        <v>110</v>
      </c>
      <c r="E105" s="3" t="s">
        <v>63</v>
      </c>
      <c r="F105" s="5">
        <v>2605</v>
      </c>
      <c r="G105" s="3">
        <v>1.98</v>
      </c>
      <c r="H105" s="4">
        <f>Tabla10[[#This Row],[CANTIDAD]]*Tabla10[[#This Row],[Costo ]]</f>
        <v>5157.8999999999996</v>
      </c>
    </row>
    <row r="106" spans="1:8" x14ac:dyDescent="0.25">
      <c r="A106" s="3" t="s">
        <v>60</v>
      </c>
      <c r="B106" s="3"/>
      <c r="C106" s="3">
        <v>6685</v>
      </c>
      <c r="D106" s="3">
        <v>140</v>
      </c>
      <c r="E106" s="3" t="s">
        <v>63</v>
      </c>
      <c r="F106" s="5">
        <v>1800</v>
      </c>
      <c r="G106" s="3">
        <v>1.98</v>
      </c>
      <c r="H106" s="4">
        <f>Tabla10[[#This Row],[CANTIDAD]]*Tabla10[[#This Row],[Costo ]]</f>
        <v>3564</v>
      </c>
    </row>
    <row r="107" spans="1:8" x14ac:dyDescent="0.25">
      <c r="A107" s="3" t="s">
        <v>60</v>
      </c>
      <c r="B107" s="3"/>
      <c r="C107" s="3">
        <v>6686</v>
      </c>
      <c r="D107" s="3">
        <v>150</v>
      </c>
      <c r="E107" s="3" t="s">
        <v>63</v>
      </c>
      <c r="F107" s="3">
        <v>720</v>
      </c>
      <c r="G107" s="3">
        <v>1.98</v>
      </c>
      <c r="H107" s="4">
        <f>Tabla10[[#This Row],[CANTIDAD]]*Tabla10[[#This Row],[Costo ]]</f>
        <v>1425.6</v>
      </c>
    </row>
    <row r="108" spans="1:8" x14ac:dyDescent="0.25">
      <c r="A108" s="3" t="s">
        <v>60</v>
      </c>
      <c r="B108" s="3"/>
      <c r="C108" s="3">
        <v>6664</v>
      </c>
      <c r="D108" s="3">
        <v>90</v>
      </c>
      <c r="E108" s="3" t="s">
        <v>64</v>
      </c>
      <c r="F108" s="5">
        <v>2698</v>
      </c>
      <c r="G108" s="3">
        <v>1.98</v>
      </c>
      <c r="H108" s="4">
        <f>Tabla10[[#This Row],[CANTIDAD]]*Tabla10[[#This Row],[Costo ]]</f>
        <v>5342.04</v>
      </c>
    </row>
    <row r="109" spans="1:8" x14ac:dyDescent="0.25">
      <c r="A109" s="3" t="s">
        <v>60</v>
      </c>
      <c r="B109" s="3"/>
      <c r="C109" s="3">
        <v>6116</v>
      </c>
      <c r="D109" s="3">
        <v>120</v>
      </c>
      <c r="E109" s="3" t="s">
        <v>64</v>
      </c>
      <c r="F109" s="5">
        <v>10293</v>
      </c>
      <c r="G109" s="3">
        <v>1.98</v>
      </c>
      <c r="H109" s="4">
        <f>Tabla10[[#This Row],[CANTIDAD]]*Tabla10[[#This Row],[Costo ]]</f>
        <v>20380.14</v>
      </c>
    </row>
    <row r="110" spans="1:8" x14ac:dyDescent="0.25">
      <c r="A110" s="3" t="s">
        <v>60</v>
      </c>
      <c r="B110" s="3"/>
      <c r="C110" s="3"/>
      <c r="D110" s="3">
        <v>90</v>
      </c>
      <c r="E110" s="3" t="s">
        <v>39</v>
      </c>
      <c r="F110" s="5">
        <v>2684</v>
      </c>
      <c r="G110" s="3">
        <v>1.98</v>
      </c>
      <c r="H110" s="4">
        <f>Tabla10[[#This Row],[CANTIDAD]]*Tabla10[[#This Row],[Costo ]]</f>
        <v>5314.32</v>
      </c>
    </row>
    <row r="111" spans="1:8" x14ac:dyDescent="0.25">
      <c r="A111" s="3" t="s">
        <v>60</v>
      </c>
      <c r="B111" s="3"/>
      <c r="C111" s="3">
        <v>6689</v>
      </c>
      <c r="D111" s="3">
        <v>110</v>
      </c>
      <c r="E111" s="3" t="s">
        <v>39</v>
      </c>
      <c r="F111" s="5">
        <v>6048</v>
      </c>
      <c r="G111" s="3">
        <v>1.98</v>
      </c>
      <c r="H111" s="4">
        <f>Tabla10[[#This Row],[CANTIDAD]]*Tabla10[[#This Row],[Costo ]]</f>
        <v>11975.039999999999</v>
      </c>
    </row>
    <row r="112" spans="1:8" x14ac:dyDescent="0.25">
      <c r="A112" s="3" t="s">
        <v>60</v>
      </c>
      <c r="B112" s="3"/>
      <c r="C112" s="3"/>
      <c r="D112" s="3">
        <v>120</v>
      </c>
      <c r="E112" s="3" t="s">
        <v>39</v>
      </c>
      <c r="F112" s="5">
        <v>1029</v>
      </c>
      <c r="G112" s="3">
        <v>1.98</v>
      </c>
      <c r="H112" s="4">
        <f>Tabla10[[#This Row],[CANTIDAD]]*Tabla10[[#This Row],[Costo ]]</f>
        <v>2037.42</v>
      </c>
    </row>
    <row r="113" spans="1:8" x14ac:dyDescent="0.25">
      <c r="A113" s="3" t="s">
        <v>60</v>
      </c>
      <c r="B113" s="3"/>
      <c r="C113" s="3">
        <v>6687</v>
      </c>
      <c r="D113" s="3">
        <v>140</v>
      </c>
      <c r="E113" s="3" t="s">
        <v>39</v>
      </c>
      <c r="F113" s="5">
        <v>1005</v>
      </c>
      <c r="G113" s="3">
        <v>1.98</v>
      </c>
      <c r="H113" s="4">
        <f>Tabla10[[#This Row],[CANTIDAD]]*Tabla10[[#This Row],[Costo ]]</f>
        <v>1989.9</v>
      </c>
    </row>
    <row r="114" spans="1:8" x14ac:dyDescent="0.25">
      <c r="A114" s="3" t="s">
        <v>60</v>
      </c>
      <c r="B114" s="3"/>
      <c r="C114" s="3">
        <v>6688</v>
      </c>
      <c r="D114" s="3">
        <v>150</v>
      </c>
      <c r="E114" s="3" t="s">
        <v>39</v>
      </c>
      <c r="F114" s="3">
        <v>483</v>
      </c>
      <c r="G114" s="3">
        <v>1.98</v>
      </c>
      <c r="H114" s="4">
        <f>Tabla10[[#This Row],[CANTIDAD]]*Tabla10[[#This Row],[Costo ]]</f>
        <v>956.34</v>
      </c>
    </row>
    <row r="115" spans="1:8" x14ac:dyDescent="0.25">
      <c r="A115" s="3" t="s">
        <v>60</v>
      </c>
      <c r="B115" s="3"/>
      <c r="C115" s="6">
        <v>6014</v>
      </c>
      <c r="D115" s="3">
        <v>70</v>
      </c>
      <c r="E115" s="3" t="s">
        <v>20</v>
      </c>
      <c r="F115" s="5">
        <v>3000</v>
      </c>
      <c r="G115" s="3">
        <v>1.98</v>
      </c>
      <c r="H115" s="4">
        <f>Tabla10[[#This Row],[CANTIDAD]]*Tabla10[[#This Row],[Costo ]]</f>
        <v>5940</v>
      </c>
    </row>
    <row r="116" spans="1:8" x14ac:dyDescent="0.25">
      <c r="A116" s="3" t="s">
        <v>60</v>
      </c>
      <c r="B116" s="3"/>
      <c r="C116" s="3">
        <v>6016</v>
      </c>
      <c r="D116" s="3">
        <v>80</v>
      </c>
      <c r="E116" s="3" t="s">
        <v>20</v>
      </c>
      <c r="F116" s="5">
        <v>600</v>
      </c>
      <c r="G116" s="3">
        <v>1.98</v>
      </c>
      <c r="H116" s="4">
        <f>Tabla10[[#This Row],[CANTIDAD]]*Tabla10[[#This Row],[Costo ]]</f>
        <v>1188</v>
      </c>
    </row>
    <row r="117" spans="1:8" x14ac:dyDescent="0.25">
      <c r="A117" s="3" t="s">
        <v>60</v>
      </c>
      <c r="B117" s="3"/>
      <c r="C117" s="3">
        <v>6046</v>
      </c>
      <c r="D117" s="3">
        <v>90</v>
      </c>
      <c r="E117" s="3" t="s">
        <v>20</v>
      </c>
      <c r="F117" s="5">
        <v>14600</v>
      </c>
      <c r="G117" s="3">
        <v>1.98</v>
      </c>
      <c r="H117" s="4">
        <f>Tabla10[[#This Row],[CANTIDAD]]*Tabla10[[#This Row],[Costo ]]</f>
        <v>28908</v>
      </c>
    </row>
    <row r="118" spans="1:8" x14ac:dyDescent="0.25">
      <c r="A118" s="3" t="s">
        <v>60</v>
      </c>
      <c r="B118" s="3"/>
      <c r="C118" s="3">
        <v>6010</v>
      </c>
      <c r="D118" s="3">
        <v>100</v>
      </c>
      <c r="E118" s="3" t="s">
        <v>20</v>
      </c>
      <c r="F118" s="5">
        <v>15700</v>
      </c>
      <c r="G118" s="3">
        <v>1.98</v>
      </c>
      <c r="H118" s="4">
        <f>Tabla10[[#This Row],[CANTIDAD]]*Tabla10[[#This Row],[Costo ]]</f>
        <v>31086</v>
      </c>
    </row>
    <row r="119" spans="1:8" x14ac:dyDescent="0.25">
      <c r="A119" s="3" t="s">
        <v>60</v>
      </c>
      <c r="B119" s="3"/>
      <c r="C119" s="3">
        <v>6041</v>
      </c>
      <c r="D119" s="3">
        <v>110</v>
      </c>
      <c r="E119" s="3" t="s">
        <v>20</v>
      </c>
      <c r="F119" s="5">
        <v>13513</v>
      </c>
      <c r="G119" s="3">
        <v>1.98</v>
      </c>
      <c r="H119" s="4">
        <f>Tabla10[[#This Row],[CANTIDAD]]*Tabla10[[#This Row],[Costo ]]</f>
        <v>26755.739999999998</v>
      </c>
    </row>
    <row r="120" spans="1:8" x14ac:dyDescent="0.25">
      <c r="A120" s="3" t="s">
        <v>60</v>
      </c>
      <c r="B120" s="3"/>
      <c r="C120" s="3">
        <v>6008</v>
      </c>
      <c r="D120" s="3">
        <v>120</v>
      </c>
      <c r="E120" s="3" t="s">
        <v>20</v>
      </c>
      <c r="F120" s="5">
        <v>2000</v>
      </c>
      <c r="G120" s="3">
        <v>1.98</v>
      </c>
      <c r="H120" s="4">
        <f>Tabla10[[#This Row],[CANTIDAD]]*Tabla10[[#This Row],[Costo ]]</f>
        <v>3960</v>
      </c>
    </row>
    <row r="121" spans="1:8" x14ac:dyDescent="0.25">
      <c r="A121" s="3" t="s">
        <v>60</v>
      </c>
      <c r="B121" s="3"/>
      <c r="C121" s="3">
        <v>6009</v>
      </c>
      <c r="D121" s="3">
        <v>140</v>
      </c>
      <c r="E121" s="3" t="s">
        <v>20</v>
      </c>
      <c r="F121" s="5">
        <v>1082</v>
      </c>
      <c r="G121" s="3">
        <v>1.98</v>
      </c>
      <c r="H121" s="4">
        <f>Tabla10[[#This Row],[CANTIDAD]]*Tabla10[[#This Row],[Costo ]]</f>
        <v>2142.36</v>
      </c>
    </row>
    <row r="122" spans="1:8" x14ac:dyDescent="0.25">
      <c r="A122" s="3" t="s">
        <v>60</v>
      </c>
      <c r="B122" s="3"/>
      <c r="C122" s="3">
        <v>6043</v>
      </c>
      <c r="D122" s="3">
        <v>150</v>
      </c>
      <c r="E122" s="3" t="s">
        <v>20</v>
      </c>
      <c r="F122" s="5">
        <v>5544</v>
      </c>
      <c r="G122" s="3">
        <v>1.98</v>
      </c>
      <c r="H122" s="4">
        <f>Tabla10[[#This Row],[CANTIDAD]]*Tabla10[[#This Row],[Costo ]]</f>
        <v>10977.12</v>
      </c>
    </row>
    <row r="123" spans="1:8" x14ac:dyDescent="0.25">
      <c r="A123" s="3" t="s">
        <v>60</v>
      </c>
      <c r="B123" s="3"/>
      <c r="C123" s="3">
        <v>6108</v>
      </c>
      <c r="D123" s="3">
        <v>120</v>
      </c>
      <c r="E123" s="3" t="s">
        <v>65</v>
      </c>
      <c r="F123" s="3">
        <v>763</v>
      </c>
      <c r="G123" s="3">
        <v>1.98</v>
      </c>
      <c r="H123" s="4">
        <f>Tabla10[[#This Row],[CANTIDAD]]*Tabla10[[#This Row],[Costo ]]</f>
        <v>1510.74</v>
      </c>
    </row>
    <row r="124" spans="1:8" x14ac:dyDescent="0.25">
      <c r="A124" s="3" t="s">
        <v>60</v>
      </c>
      <c r="B124" s="3"/>
      <c r="C124" s="3">
        <v>6331</v>
      </c>
      <c r="D124" s="3">
        <v>70</v>
      </c>
      <c r="E124" s="3" t="s">
        <v>22</v>
      </c>
      <c r="F124" s="5">
        <v>1584</v>
      </c>
      <c r="G124" s="3">
        <v>1.98</v>
      </c>
      <c r="H124" s="4">
        <f>Tabla10[[#This Row],[CANTIDAD]]*Tabla10[[#This Row],[Costo ]]</f>
        <v>3136.32</v>
      </c>
    </row>
    <row r="125" spans="1:8" x14ac:dyDescent="0.25">
      <c r="A125" s="3" t="s">
        <v>60</v>
      </c>
      <c r="B125" s="3"/>
      <c r="C125" s="3">
        <v>6053</v>
      </c>
      <c r="D125" s="3">
        <v>80</v>
      </c>
      <c r="E125" s="3" t="s">
        <v>22</v>
      </c>
      <c r="F125" s="3">
        <v>10</v>
      </c>
      <c r="G125" s="3">
        <v>1.98</v>
      </c>
      <c r="H125" s="4">
        <f>Tabla10[[#This Row],[CANTIDAD]]*Tabla10[[#This Row],[Costo ]]</f>
        <v>19.8</v>
      </c>
    </row>
    <row r="126" spans="1:8" x14ac:dyDescent="0.25">
      <c r="A126" s="3" t="s">
        <v>60</v>
      </c>
      <c r="B126" s="3"/>
      <c r="C126" s="3">
        <v>6109</v>
      </c>
      <c r="D126" s="3">
        <v>90</v>
      </c>
      <c r="E126" s="3" t="s">
        <v>22</v>
      </c>
      <c r="F126" s="3">
        <v>754</v>
      </c>
      <c r="G126" s="3">
        <v>1.98</v>
      </c>
      <c r="H126" s="4">
        <f>Tabla10[[#This Row],[CANTIDAD]]*Tabla10[[#This Row],[Costo ]]</f>
        <v>1492.92</v>
      </c>
    </row>
    <row r="127" spans="1:8" x14ac:dyDescent="0.25">
      <c r="A127" s="3" t="s">
        <v>60</v>
      </c>
      <c r="B127" s="3"/>
      <c r="C127" s="3">
        <v>6335</v>
      </c>
      <c r="D127" s="3">
        <v>100</v>
      </c>
      <c r="E127" s="3" t="s">
        <v>22</v>
      </c>
      <c r="F127" s="3">
        <v>0</v>
      </c>
      <c r="G127" s="3">
        <v>1.98</v>
      </c>
      <c r="H127" s="4">
        <f>Tabla10[[#This Row],[CANTIDAD]]*Tabla10[[#This Row],[Costo ]]</f>
        <v>0</v>
      </c>
    </row>
    <row r="128" spans="1:8" x14ac:dyDescent="0.25">
      <c r="A128" s="3" t="s">
        <v>60</v>
      </c>
      <c r="B128" s="3"/>
      <c r="C128" s="3">
        <v>6023</v>
      </c>
      <c r="D128" s="3">
        <v>120</v>
      </c>
      <c r="E128" s="3" t="s">
        <v>22</v>
      </c>
      <c r="F128" s="3">
        <v>648</v>
      </c>
      <c r="G128" s="3">
        <v>1.98</v>
      </c>
      <c r="H128" s="4">
        <f>Tabla10[[#This Row],[CANTIDAD]]*Tabla10[[#This Row],[Costo ]]</f>
        <v>1283.04</v>
      </c>
    </row>
    <row r="129" spans="1:8" x14ac:dyDescent="0.25">
      <c r="A129" s="3" t="s">
        <v>60</v>
      </c>
      <c r="B129" s="3"/>
      <c r="C129" s="3">
        <v>6196</v>
      </c>
      <c r="D129" s="3">
        <v>70</v>
      </c>
      <c r="E129" s="3" t="s">
        <v>66</v>
      </c>
      <c r="F129" s="3">
        <v>119</v>
      </c>
      <c r="G129" s="3">
        <v>1.98</v>
      </c>
      <c r="H129" s="4">
        <f>Tabla10[[#This Row],[CANTIDAD]]*Tabla10[[#This Row],[Costo ]]</f>
        <v>235.62</v>
      </c>
    </row>
    <row r="130" spans="1:8" x14ac:dyDescent="0.25">
      <c r="A130" s="3" t="s">
        <v>60</v>
      </c>
      <c r="B130" s="3"/>
      <c r="C130" s="3">
        <v>6188</v>
      </c>
      <c r="D130" s="3">
        <v>90</v>
      </c>
      <c r="E130" s="3" t="s">
        <v>66</v>
      </c>
      <c r="F130" s="3">
        <v>89</v>
      </c>
      <c r="G130" s="3">
        <v>1.98</v>
      </c>
      <c r="H130" s="4">
        <f>Tabla10[[#This Row],[CANTIDAD]]*Tabla10[[#This Row],[Costo ]]</f>
        <v>176.22</v>
      </c>
    </row>
    <row r="131" spans="1:8" x14ac:dyDescent="0.25">
      <c r="A131" s="3" t="s">
        <v>60</v>
      </c>
      <c r="B131" s="3"/>
      <c r="C131" s="3">
        <v>6189</v>
      </c>
      <c r="D131" s="3">
        <v>100</v>
      </c>
      <c r="E131" s="3" t="s">
        <v>66</v>
      </c>
      <c r="F131" s="3">
        <v>216</v>
      </c>
      <c r="G131" s="3">
        <v>1.98</v>
      </c>
      <c r="H131" s="4">
        <f>Tabla10[[#This Row],[CANTIDAD]]*Tabla10[[#This Row],[Costo ]]</f>
        <v>427.68</v>
      </c>
    </row>
    <row r="132" spans="1:8" x14ac:dyDescent="0.25">
      <c r="A132" s="3" t="s">
        <v>60</v>
      </c>
      <c r="B132" s="3"/>
      <c r="C132" s="3">
        <v>6136</v>
      </c>
      <c r="D132" s="3">
        <v>120</v>
      </c>
      <c r="E132" s="3" t="s">
        <v>66</v>
      </c>
      <c r="F132" s="3">
        <v>360</v>
      </c>
      <c r="G132" s="3">
        <v>1.98</v>
      </c>
      <c r="H132" s="4">
        <f>Tabla10[[#This Row],[CANTIDAD]]*Tabla10[[#This Row],[Costo ]]</f>
        <v>712.8</v>
      </c>
    </row>
    <row r="133" spans="1:8" x14ac:dyDescent="0.25">
      <c r="A133" s="3" t="s">
        <v>60</v>
      </c>
      <c r="B133" s="3"/>
      <c r="C133" s="3">
        <v>6132</v>
      </c>
      <c r="D133" s="3">
        <v>70</v>
      </c>
      <c r="E133" s="3" t="s">
        <v>67</v>
      </c>
      <c r="F133" s="5">
        <v>1296</v>
      </c>
      <c r="G133" s="3">
        <v>1.98</v>
      </c>
      <c r="H133" s="4">
        <f>Tabla10[[#This Row],[CANTIDAD]]*Tabla10[[#This Row],[Costo ]]</f>
        <v>2566.08</v>
      </c>
    </row>
    <row r="134" spans="1:8" x14ac:dyDescent="0.25">
      <c r="A134" s="3" t="s">
        <v>60</v>
      </c>
      <c r="B134" s="3"/>
      <c r="C134" s="3">
        <v>6133</v>
      </c>
      <c r="D134" s="3">
        <v>80</v>
      </c>
      <c r="E134" s="3" t="s">
        <v>67</v>
      </c>
      <c r="F134" s="5">
        <v>2650</v>
      </c>
      <c r="G134" s="3">
        <v>1.98</v>
      </c>
      <c r="H134" s="4">
        <f>Tabla10[[#This Row],[CANTIDAD]]*Tabla10[[#This Row],[Costo ]]</f>
        <v>5247</v>
      </c>
    </row>
    <row r="135" spans="1:8" x14ac:dyDescent="0.25">
      <c r="A135" s="3" t="s">
        <v>60</v>
      </c>
      <c r="B135" s="3"/>
      <c r="C135" s="3">
        <v>6134</v>
      </c>
      <c r="D135" s="3">
        <v>90</v>
      </c>
      <c r="E135" s="3" t="s">
        <v>67</v>
      </c>
      <c r="F135" s="5">
        <v>1395</v>
      </c>
      <c r="G135" s="3">
        <v>1.98</v>
      </c>
      <c r="H135" s="4">
        <f>Tabla10[[#This Row],[CANTIDAD]]*Tabla10[[#This Row],[Costo ]]</f>
        <v>2762.1</v>
      </c>
    </row>
    <row r="136" spans="1:8" x14ac:dyDescent="0.25">
      <c r="A136" s="3" t="s">
        <v>60</v>
      </c>
      <c r="B136" s="3"/>
      <c r="C136" s="3">
        <v>6351</v>
      </c>
      <c r="D136" s="3">
        <v>70</v>
      </c>
      <c r="E136" s="3" t="s">
        <v>68</v>
      </c>
      <c r="F136" s="5">
        <v>1203</v>
      </c>
      <c r="G136" s="3">
        <v>1.98</v>
      </c>
      <c r="H136" s="4">
        <f>Tabla10[[#This Row],[CANTIDAD]]*Tabla10[[#This Row],[Costo ]]</f>
        <v>2381.94</v>
      </c>
    </row>
    <row r="137" spans="1:8" x14ac:dyDescent="0.25">
      <c r="A137" s="3" t="s">
        <v>60</v>
      </c>
      <c r="B137" s="3"/>
      <c r="C137" s="3">
        <v>6054</v>
      </c>
      <c r="D137" s="3">
        <v>80</v>
      </c>
      <c r="E137" s="3" t="s">
        <v>68</v>
      </c>
      <c r="F137" s="3">
        <v>60</v>
      </c>
      <c r="G137" s="3">
        <v>1.98</v>
      </c>
      <c r="H137" s="4">
        <f>Tabla10[[#This Row],[CANTIDAD]]*Tabla10[[#This Row],[Costo ]]</f>
        <v>118.8</v>
      </c>
    </row>
    <row r="138" spans="1:8" x14ac:dyDescent="0.25">
      <c r="A138" s="3" t="s">
        <v>60</v>
      </c>
      <c r="B138" s="3"/>
      <c r="C138" s="3">
        <v>6058</v>
      </c>
      <c r="D138" s="3">
        <v>90</v>
      </c>
      <c r="E138" s="3" t="s">
        <v>68</v>
      </c>
      <c r="F138" s="3">
        <v>813</v>
      </c>
      <c r="G138" s="3">
        <v>1.98</v>
      </c>
      <c r="H138" s="4">
        <f>Tabla10[[#This Row],[CANTIDAD]]*Tabla10[[#This Row],[Costo ]]</f>
        <v>1609.74</v>
      </c>
    </row>
    <row r="139" spans="1:8" x14ac:dyDescent="0.25">
      <c r="A139" s="3" t="s">
        <v>60</v>
      </c>
      <c r="B139" s="3"/>
      <c r="C139" s="3">
        <v>6192</v>
      </c>
      <c r="D139" s="3">
        <v>100</v>
      </c>
      <c r="E139" s="3" t="s">
        <v>69</v>
      </c>
      <c r="F139" s="3">
        <v>279</v>
      </c>
      <c r="G139" s="3">
        <v>1.98</v>
      </c>
      <c r="H139" s="4">
        <f>Tabla10[[#This Row],[CANTIDAD]]*Tabla10[[#This Row],[Costo ]]</f>
        <v>552.41999999999996</v>
      </c>
    </row>
    <row r="140" spans="1:8" x14ac:dyDescent="0.25">
      <c r="A140" s="3" t="s">
        <v>60</v>
      </c>
      <c r="B140" s="3"/>
      <c r="C140" s="3">
        <v>6190</v>
      </c>
      <c r="D140" s="3">
        <v>120</v>
      </c>
      <c r="E140" s="3" t="s">
        <v>69</v>
      </c>
      <c r="F140" s="3">
        <v>428</v>
      </c>
      <c r="G140" s="3">
        <v>1.98</v>
      </c>
      <c r="H140" s="4">
        <f>Tabla10[[#This Row],[CANTIDAD]]*Tabla10[[#This Row],[Costo ]]</f>
        <v>847.43999999999994</v>
      </c>
    </row>
    <row r="141" spans="1:8" x14ac:dyDescent="0.25">
      <c r="A141" s="3" t="s">
        <v>60</v>
      </c>
      <c r="B141" s="3"/>
      <c r="C141" s="3">
        <v>6191</v>
      </c>
      <c r="D141" s="3">
        <v>140</v>
      </c>
      <c r="E141" s="3" t="s">
        <v>69</v>
      </c>
      <c r="F141" s="3">
        <v>430</v>
      </c>
      <c r="G141" s="3">
        <v>1.98</v>
      </c>
      <c r="H141" s="4">
        <f>Tabla10[[#This Row],[CANTIDAD]]*Tabla10[[#This Row],[Costo ]]</f>
        <v>851.4</v>
      </c>
    </row>
    <row r="142" spans="1:8" x14ac:dyDescent="0.25">
      <c r="A142" s="3" t="s">
        <v>60</v>
      </c>
      <c r="B142" s="3"/>
      <c r="C142" s="3">
        <v>6197</v>
      </c>
      <c r="D142" s="3">
        <v>150</v>
      </c>
      <c r="E142" s="3" t="s">
        <v>69</v>
      </c>
      <c r="F142" s="3">
        <v>42</v>
      </c>
      <c r="G142" s="3">
        <v>1.98</v>
      </c>
      <c r="H142" s="4">
        <f>Tabla10[[#This Row],[CANTIDAD]]*Tabla10[[#This Row],[Costo ]]</f>
        <v>83.16</v>
      </c>
    </row>
    <row r="143" spans="1:8" x14ac:dyDescent="0.25">
      <c r="A143" s="3" t="s">
        <v>70</v>
      </c>
      <c r="B143" s="3"/>
      <c r="C143" s="3"/>
      <c r="D143" s="3">
        <v>120</v>
      </c>
      <c r="E143" s="3" t="s">
        <v>62</v>
      </c>
      <c r="F143" s="5">
        <v>1400</v>
      </c>
      <c r="G143" s="3">
        <v>2.62</v>
      </c>
      <c r="H143" s="4">
        <f>Tabla10[[#This Row],[CANTIDAD]]*Tabla10[[#This Row],[Costo ]]</f>
        <v>3668</v>
      </c>
    </row>
    <row r="144" spans="1:8" x14ac:dyDescent="0.25">
      <c r="A144" s="3" t="s">
        <v>70</v>
      </c>
      <c r="B144" s="3"/>
      <c r="C144" s="3">
        <v>6028</v>
      </c>
      <c r="D144" s="3">
        <v>80</v>
      </c>
      <c r="E144" s="3" t="s">
        <v>13</v>
      </c>
      <c r="F144" s="5">
        <v>1630</v>
      </c>
      <c r="G144" s="3">
        <v>2.62</v>
      </c>
      <c r="H144" s="4">
        <f>Tabla10[[#This Row],[CANTIDAD]]*Tabla10[[#This Row],[Costo ]]</f>
        <v>4270.6000000000004</v>
      </c>
    </row>
    <row r="145" spans="1:8" x14ac:dyDescent="0.25">
      <c r="A145" s="3" t="s">
        <v>70</v>
      </c>
      <c r="B145" s="3"/>
      <c r="C145" s="3">
        <v>6112</v>
      </c>
      <c r="D145" s="3">
        <v>90</v>
      </c>
      <c r="E145" s="3" t="s">
        <v>13</v>
      </c>
      <c r="F145" s="5">
        <v>4340</v>
      </c>
      <c r="G145" s="3">
        <v>2.62</v>
      </c>
      <c r="H145" s="4">
        <f>Tabla10[[#This Row],[CANTIDAD]]*Tabla10[[#This Row],[Costo ]]</f>
        <v>11370.800000000001</v>
      </c>
    </row>
    <row r="146" spans="1:8" x14ac:dyDescent="0.25">
      <c r="A146" s="3" t="s">
        <v>70</v>
      </c>
      <c r="B146" s="3"/>
      <c r="C146" s="3">
        <v>6044</v>
      </c>
      <c r="D146" s="3">
        <v>90</v>
      </c>
      <c r="E146" s="3" t="s">
        <v>17</v>
      </c>
      <c r="F146" s="5">
        <v>1890</v>
      </c>
      <c r="G146" s="3">
        <v>2.62</v>
      </c>
      <c r="H146" s="4">
        <f>Tabla10[[#This Row],[CANTIDAD]]*Tabla10[[#This Row],[Costo ]]</f>
        <v>4951.8</v>
      </c>
    </row>
    <row r="147" spans="1:8" x14ac:dyDescent="0.25">
      <c r="A147" s="3" t="s">
        <v>70</v>
      </c>
      <c r="B147" s="3"/>
      <c r="C147" s="3">
        <v>6027</v>
      </c>
      <c r="D147" s="3">
        <v>80</v>
      </c>
      <c r="E147" s="3" t="s">
        <v>20</v>
      </c>
      <c r="F147" s="5">
        <v>4980</v>
      </c>
      <c r="G147" s="3">
        <v>2.62</v>
      </c>
      <c r="H147" s="4">
        <f>Tabla10[[#This Row],[CANTIDAD]]*Tabla10[[#This Row],[Costo ]]</f>
        <v>13047.6</v>
      </c>
    </row>
    <row r="148" spans="1:8" x14ac:dyDescent="0.25">
      <c r="A148" s="3" t="s">
        <v>70</v>
      </c>
      <c r="B148" s="3"/>
      <c r="C148" s="3">
        <v>6001</v>
      </c>
      <c r="D148" s="3">
        <v>90</v>
      </c>
      <c r="E148" s="3" t="s">
        <v>20</v>
      </c>
      <c r="F148" s="3">
        <v>572</v>
      </c>
      <c r="G148" s="3">
        <v>1.98</v>
      </c>
      <c r="H148" s="4">
        <f>Tabla10[[#This Row],[CANTIDAD]]*Tabla10[[#This Row],[Costo ]]</f>
        <v>1132.56</v>
      </c>
    </row>
    <row r="149" spans="1:8" x14ac:dyDescent="0.25">
      <c r="A149" s="3" t="s">
        <v>70</v>
      </c>
      <c r="B149" s="3"/>
      <c r="C149" s="3">
        <v>6011</v>
      </c>
      <c r="D149" s="3">
        <v>90</v>
      </c>
      <c r="E149" s="3" t="s">
        <v>22</v>
      </c>
      <c r="F149" s="3">
        <v>840</v>
      </c>
      <c r="G149" s="3">
        <v>2.62</v>
      </c>
      <c r="H149" s="4">
        <f>Tabla10[[#This Row],[CANTIDAD]]*Tabla10[[#This Row],[Costo ]]</f>
        <v>2200.8000000000002</v>
      </c>
    </row>
    <row r="150" spans="1:8" x14ac:dyDescent="0.25">
      <c r="A150" s="3" t="s">
        <v>70</v>
      </c>
      <c r="B150" s="3"/>
      <c r="C150" s="3">
        <v>6032</v>
      </c>
      <c r="D150" s="3">
        <v>80</v>
      </c>
      <c r="E150" s="3" t="s">
        <v>23</v>
      </c>
      <c r="F150" s="5">
        <v>1184</v>
      </c>
      <c r="G150" s="3">
        <v>2.62</v>
      </c>
      <c r="H150" s="4">
        <f>Tabla10[[#This Row],[CANTIDAD]]*Tabla10[[#This Row],[Costo ]]</f>
        <v>3102.08</v>
      </c>
    </row>
    <row r="151" spans="1:8" x14ac:dyDescent="0.25">
      <c r="A151" s="3" t="s">
        <v>71</v>
      </c>
      <c r="B151" s="3"/>
      <c r="C151" s="6">
        <v>6135</v>
      </c>
      <c r="D151" s="3">
        <v>90</v>
      </c>
      <c r="E151" s="3" t="s">
        <v>72</v>
      </c>
      <c r="F151" s="5">
        <v>1134</v>
      </c>
      <c r="G151" s="3">
        <v>2.62</v>
      </c>
      <c r="H151" s="4">
        <f>Tabla10[[#This Row],[CANTIDAD]]*Tabla10[[#This Row],[Costo ]]</f>
        <v>2971.08</v>
      </c>
    </row>
    <row r="152" spans="1:8" x14ac:dyDescent="0.25">
      <c r="A152" s="3" t="s">
        <v>70</v>
      </c>
      <c r="B152" s="3"/>
      <c r="C152" s="3">
        <v>6146</v>
      </c>
      <c r="D152" s="3">
        <v>140</v>
      </c>
      <c r="E152" s="3" t="s">
        <v>72</v>
      </c>
      <c r="F152" s="3">
        <v>140</v>
      </c>
      <c r="G152" s="3">
        <v>2.62</v>
      </c>
      <c r="H152" s="4">
        <f>Tabla10[[#This Row],[CANTIDAD]]*Tabla10[[#This Row],[Costo ]]</f>
        <v>366.8</v>
      </c>
    </row>
    <row r="153" spans="1:8" x14ac:dyDescent="0.25">
      <c r="A153" s="3" t="s">
        <v>73</v>
      </c>
      <c r="B153" s="3" t="s">
        <v>74</v>
      </c>
      <c r="C153" s="3">
        <v>6195</v>
      </c>
      <c r="D153" s="3">
        <v>120</v>
      </c>
      <c r="E153" s="3" t="s">
        <v>13</v>
      </c>
      <c r="F153" s="3">
        <v>390</v>
      </c>
      <c r="G153" s="3">
        <v>1.98</v>
      </c>
      <c r="H153" s="4">
        <f>Tabla10[[#This Row],[CANTIDAD]]*Tabla10[[#This Row],[Costo ]]</f>
        <v>772.2</v>
      </c>
    </row>
    <row r="154" spans="1:8" x14ac:dyDescent="0.25">
      <c r="A154" s="3" t="s">
        <v>73</v>
      </c>
      <c r="B154" s="3" t="s">
        <v>74</v>
      </c>
      <c r="C154" s="3">
        <v>6193</v>
      </c>
      <c r="D154" s="3">
        <v>140</v>
      </c>
      <c r="E154" s="3" t="s">
        <v>13</v>
      </c>
      <c r="F154" s="3">
        <v>289</v>
      </c>
      <c r="G154" s="3">
        <v>1.98</v>
      </c>
      <c r="H154" s="4">
        <f>Tabla10[[#This Row],[CANTIDAD]]*Tabla10[[#This Row],[Costo ]]</f>
        <v>572.22</v>
      </c>
    </row>
    <row r="155" spans="1:8" x14ac:dyDescent="0.25">
      <c r="A155" s="3" t="s">
        <v>75</v>
      </c>
      <c r="B155" s="3" t="s">
        <v>76</v>
      </c>
      <c r="C155" s="3">
        <v>6194</v>
      </c>
      <c r="D155" s="3">
        <v>140</v>
      </c>
      <c r="E155" s="3" t="s">
        <v>20</v>
      </c>
      <c r="F155" s="3">
        <v>600</v>
      </c>
      <c r="G155" s="3">
        <v>1.98</v>
      </c>
      <c r="H155" s="4">
        <f>Tabla10[[#This Row],[CANTIDAD]]*Tabla10[[#This Row],[Costo ]]</f>
        <v>1188</v>
      </c>
    </row>
    <row r="156" spans="1:8" x14ac:dyDescent="0.25">
      <c r="A156" s="3" t="s">
        <v>77</v>
      </c>
      <c r="B156" s="3" t="s">
        <v>78</v>
      </c>
      <c r="C156" s="3">
        <v>10533</v>
      </c>
      <c r="D156" s="3">
        <v>78</v>
      </c>
      <c r="E156" s="3" t="s">
        <v>13</v>
      </c>
      <c r="F156" s="5">
        <v>62450</v>
      </c>
      <c r="G156" s="3">
        <v>2.09</v>
      </c>
      <c r="H156" s="4">
        <f>Tabla10[[#This Row],[CANTIDAD]]*Tabla10[[#This Row],[Costo ]]</f>
        <v>130520.49999999999</v>
      </c>
    </row>
    <row r="157" spans="1:8" x14ac:dyDescent="0.25">
      <c r="A157" s="3" t="s">
        <v>77</v>
      </c>
      <c r="B157" s="3" t="s">
        <v>78</v>
      </c>
      <c r="C157" s="3">
        <v>10534</v>
      </c>
      <c r="D157" s="3">
        <v>83</v>
      </c>
      <c r="E157" s="3" t="s">
        <v>13</v>
      </c>
      <c r="F157" s="5">
        <v>965</v>
      </c>
      <c r="G157" s="3">
        <v>2.09</v>
      </c>
      <c r="H157" s="4">
        <f>Tabla10[[#This Row],[CANTIDAD]]*Tabla10[[#This Row],[Costo ]]</f>
        <v>2016.85</v>
      </c>
    </row>
    <row r="158" spans="1:8" x14ac:dyDescent="0.25">
      <c r="A158" s="3" t="s">
        <v>77</v>
      </c>
      <c r="B158" s="3" t="s">
        <v>78</v>
      </c>
      <c r="C158" s="3">
        <v>10535</v>
      </c>
      <c r="D158" s="3">
        <v>87</v>
      </c>
      <c r="E158" s="3" t="s">
        <v>13</v>
      </c>
      <c r="F158" s="5">
        <v>46054</v>
      </c>
      <c r="G158" s="3">
        <v>2.09</v>
      </c>
      <c r="H158" s="4">
        <f>Tabla10[[#This Row],[CANTIDAD]]*Tabla10[[#This Row],[Costo ]]</f>
        <v>96252.86</v>
      </c>
    </row>
    <row r="159" spans="1:8" x14ac:dyDescent="0.25">
      <c r="A159" s="3" t="s">
        <v>77</v>
      </c>
      <c r="B159" s="3" t="s">
        <v>78</v>
      </c>
      <c r="C159" s="3">
        <v>10536</v>
      </c>
      <c r="D159" s="3">
        <v>94</v>
      </c>
      <c r="E159" s="3" t="s">
        <v>13</v>
      </c>
      <c r="F159" s="5">
        <v>6218</v>
      </c>
      <c r="G159" s="3">
        <v>2.09</v>
      </c>
      <c r="H159" s="4">
        <f>Tabla10[[#This Row],[CANTIDAD]]*Tabla10[[#This Row],[Costo ]]</f>
        <v>12995.619999999999</v>
      </c>
    </row>
    <row r="160" spans="1:8" x14ac:dyDescent="0.25">
      <c r="A160" s="3" t="s">
        <v>77</v>
      </c>
      <c r="B160" s="3" t="s">
        <v>78</v>
      </c>
      <c r="C160" s="3">
        <v>10537</v>
      </c>
      <c r="D160" s="3">
        <v>78</v>
      </c>
      <c r="E160" s="3" t="s">
        <v>20</v>
      </c>
      <c r="F160" s="5">
        <v>24300</v>
      </c>
      <c r="G160" s="3">
        <v>2.09</v>
      </c>
      <c r="H160" s="4">
        <f>Tabla10[[#This Row],[CANTIDAD]]*Tabla10[[#This Row],[Costo ]]</f>
        <v>50787</v>
      </c>
    </row>
    <row r="161" spans="1:8" x14ac:dyDescent="0.25">
      <c r="A161" s="3" t="s">
        <v>77</v>
      </c>
      <c r="B161" s="3" t="s">
        <v>78</v>
      </c>
      <c r="C161" s="3">
        <v>10538</v>
      </c>
      <c r="D161" s="3">
        <v>83</v>
      </c>
      <c r="E161" s="3" t="s">
        <v>20</v>
      </c>
      <c r="F161" s="3">
        <v>500</v>
      </c>
      <c r="G161" s="3">
        <v>2.09</v>
      </c>
      <c r="H161" s="4">
        <f>Tabla10[[#This Row],[CANTIDAD]]*Tabla10[[#This Row],[Costo ]]</f>
        <v>1045</v>
      </c>
    </row>
    <row r="162" spans="1:8" x14ac:dyDescent="0.25">
      <c r="A162" s="3" t="s">
        <v>77</v>
      </c>
      <c r="B162" s="3" t="s">
        <v>78</v>
      </c>
      <c r="C162" s="3">
        <v>10539</v>
      </c>
      <c r="D162" s="3">
        <v>87</v>
      </c>
      <c r="E162" s="3" t="s">
        <v>20</v>
      </c>
      <c r="F162" s="5">
        <v>2400</v>
      </c>
      <c r="G162" s="3">
        <v>2.09</v>
      </c>
      <c r="H162" s="4">
        <f>Tabla10[[#This Row],[CANTIDAD]]*Tabla10[[#This Row],[Costo ]]</f>
        <v>5016</v>
      </c>
    </row>
    <row r="163" spans="1:8" x14ac:dyDescent="0.25">
      <c r="A163" s="3" t="s">
        <v>77</v>
      </c>
      <c r="B163" s="3" t="s">
        <v>78</v>
      </c>
      <c r="C163" s="3">
        <v>10540</v>
      </c>
      <c r="D163" s="3">
        <v>94</v>
      </c>
      <c r="E163" s="3" t="s">
        <v>20</v>
      </c>
      <c r="F163" s="5">
        <v>1100</v>
      </c>
      <c r="G163" s="3">
        <v>2.09</v>
      </c>
      <c r="H163" s="4">
        <f>Tabla10[[#This Row],[CANTIDAD]]*Tabla10[[#This Row],[Costo ]]</f>
        <v>2299</v>
      </c>
    </row>
    <row r="164" spans="1:8" x14ac:dyDescent="0.25">
      <c r="A164" s="3"/>
      <c r="B164" s="3"/>
      <c r="C164" s="3"/>
      <c r="D164" s="3"/>
      <c r="E164" s="3"/>
      <c r="F164" s="5"/>
      <c r="G164" s="3"/>
      <c r="H164" s="3">
        <f>SUBTOTAL(109,Tabla10[[ Importe ]])</f>
        <v>749053.06999999972</v>
      </c>
    </row>
    <row r="166" spans="1:8" x14ac:dyDescent="0.25">
      <c r="H166" s="7">
        <f>SUM(H2:H163)</f>
        <v>749053.06999999972</v>
      </c>
    </row>
    <row r="168" spans="1:8" x14ac:dyDescent="0.25">
      <c r="F168" s="8"/>
      <c r="H168" s="9">
        <f>H36+H37+H38+H60+H61+H62+H93+H94+H95+H96+H97+H98+H100+H101+H115+H116+H117+H118+H119+H120+H121+H122+H139+H140+H141+H142+H144+H145+H147+H148+H153+H154+H155+H156+H157+H158+H159+H160+H161+H162+H163</f>
        <v>525808.14999999991</v>
      </c>
    </row>
    <row r="169" spans="1:8" x14ac:dyDescent="0.25">
      <c r="F169" s="8"/>
      <c r="H169" s="9">
        <f>H166-H168</f>
        <v>223244.91999999981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Camarena</dc:creator>
  <cp:lastModifiedBy>Jaime Camarena</cp:lastModifiedBy>
  <dcterms:created xsi:type="dcterms:W3CDTF">2026-01-21T00:41:20Z</dcterms:created>
  <dcterms:modified xsi:type="dcterms:W3CDTF">2026-01-21T00:42:59Z</dcterms:modified>
</cp:coreProperties>
</file>